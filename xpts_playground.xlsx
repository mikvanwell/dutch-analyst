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Sheet1!$A$1:$AW$424</definedName>
  </definedNames>
  <calcPr/>
</workbook>
</file>

<file path=xl/sharedStrings.xml><?xml version="1.0" encoding="utf-8"?>
<sst xmlns="http://schemas.openxmlformats.org/spreadsheetml/2006/main" count="1741" uniqueCount="905">
  <si>
    <t>player_id</t>
  </si>
  <si>
    <t>name</t>
  </si>
  <si>
    <t>team</t>
  </si>
  <si>
    <t>position</t>
  </si>
  <si>
    <t>€</t>
  </si>
  <si>
    <t>Start%</t>
  </si>
  <si>
    <t>Mins/Start</t>
  </si>
  <si>
    <t>Minutes played</t>
  </si>
  <si>
    <t>predicted_to_start</t>
  </si>
  <si>
    <t>on_pens</t>
  </si>
  <si>
    <t>xMins</t>
  </si>
  <si>
    <t>xBonus_per_PT</t>
  </si>
  <si>
    <t>xPTS/M</t>
  </si>
  <si>
    <t>Total xPTS</t>
  </si>
  <si>
    <t>xPTS/€</t>
  </si>
  <si>
    <t>GW1</t>
  </si>
  <si>
    <t>GW2</t>
  </si>
  <si>
    <t>GW3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</si>
  <si>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</si>
  <si>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</si>
  <si>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</si>
  <si>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</si>
  <si>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</si>
  <si>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</si>
  <si>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</si>
  <si>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</si>
  <si>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</si>
  <si>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</si>
  <si>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</si>
  <si>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</si>
  <si>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</si>
  <si>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</si>
  <si>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</si>
  <si>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</si>
  <si>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</si>
  <si>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GW21</t>
  </si>
  <si>
    <t>GW22</t>
  </si>
  <si>
    <t>GW23</t>
  </si>
  <si>
    <t>GW24</t>
  </si>
  <si>
    <t>GW25</t>
  </si>
  <si>
    <t>GW26</t>
  </si>
  <si>
    <t>GW27</t>
  </si>
  <si>
    <t>GW28</t>
  </si>
  <si>
    <t>GW29</t>
  </si>
  <si>
    <t>GW30</t>
  </si>
  <si>
    <t>GW31</t>
  </si>
  <si>
    <t>GW32</t>
  </si>
  <si>
    <t>GW33</t>
  </si>
  <si>
    <t>GW34</t>
  </si>
  <si>
    <t>Veerman_PSV</t>
  </si>
  <si>
    <t>Veerman</t>
  </si>
  <si>
    <t>PSV</t>
  </si>
  <si>
    <t>MID</t>
  </si>
  <si>
    <t>Ueda_FEY</t>
  </si>
  <si>
    <t>Ueda</t>
  </si>
  <si>
    <t>FEY</t>
  </si>
  <si>
    <t>ATT</t>
  </si>
  <si>
    <t>Godts_AJA</t>
  </si>
  <si>
    <t>Godts</t>
  </si>
  <si>
    <t>AJA</t>
  </si>
  <si>
    <t>Zechiël_FEY</t>
  </si>
  <si>
    <t>Zechiël</t>
  </si>
  <si>
    <t>Linssen_NEC</t>
  </si>
  <si>
    <t>Linssen</t>
  </si>
  <si>
    <t>NEC</t>
  </si>
  <si>
    <t>Parrott_AZ</t>
  </si>
  <si>
    <t>Parrott</t>
  </si>
  <si>
    <t>AZ</t>
  </si>
  <si>
    <t>Perisic_PSV</t>
  </si>
  <si>
    <t>Perisic</t>
  </si>
  <si>
    <t>Chery_NEC</t>
  </si>
  <si>
    <t>Chery</t>
  </si>
  <si>
    <t>Sierhuis_NEC</t>
  </si>
  <si>
    <t>Sierhuis</t>
  </si>
  <si>
    <t>Trenskow_HEE</t>
  </si>
  <si>
    <t>Trenskow</t>
  </si>
  <si>
    <t>HEE</t>
  </si>
  <si>
    <t>Hlynsson_TWE</t>
  </si>
  <si>
    <t>Hlynsson</t>
  </si>
  <si>
    <t>TWE</t>
  </si>
  <si>
    <t>Hardeveld_TEL</t>
  </si>
  <si>
    <t>Hardeveld</t>
  </si>
  <si>
    <t>TEL</t>
  </si>
  <si>
    <t>DEF</t>
  </si>
  <si>
    <t>Janse_AJA</t>
  </si>
  <si>
    <t>Janse</t>
  </si>
  <si>
    <t>Baas_AJA</t>
  </si>
  <si>
    <t>Baas</t>
  </si>
  <si>
    <t>Hadj Moussa_FEY</t>
  </si>
  <si>
    <t>Hadj Moussa</t>
  </si>
  <si>
    <t>Ihattaren_FOR</t>
  </si>
  <si>
    <t>Ihattaren</t>
  </si>
  <si>
    <t>FOR</t>
  </si>
  <si>
    <t>Young_SPA</t>
  </si>
  <si>
    <t>Young</t>
  </si>
  <si>
    <t>SPA</t>
  </si>
  <si>
    <t>Van Rooij_TWE</t>
  </si>
  <si>
    <t>Van Rooij</t>
  </si>
  <si>
    <t>Kostons_PEC</t>
  </si>
  <si>
    <t>Kostons</t>
  </si>
  <si>
    <t>PEC</t>
  </si>
  <si>
    <t>Drommel_PSV</t>
  </si>
  <si>
    <t>Drommel</t>
  </si>
  <si>
    <t>KEE</t>
  </si>
  <si>
    <t>Mauro Jr._PSV</t>
  </si>
  <si>
    <t>Mauro Jr.</t>
  </si>
  <si>
    <t>Koeman Jr._TEL</t>
  </si>
  <si>
    <t>Koeman Jr.</t>
  </si>
  <si>
    <t>J. Bos_FEY</t>
  </si>
  <si>
    <t>J. Bos</t>
  </si>
  <si>
    <t>Mijnans_PSV</t>
  </si>
  <si>
    <t>Mijnans</t>
  </si>
  <si>
    <t>Pepi_PSV</t>
  </si>
  <si>
    <t>Pepi</t>
  </si>
  <si>
    <t>Brouwers_HEE</t>
  </si>
  <si>
    <t>Brouwers</t>
  </si>
  <si>
    <t>Penetra_AZ</t>
  </si>
  <si>
    <t>Penetra</t>
  </si>
  <si>
    <t>Hornkamp_AZ</t>
  </si>
  <si>
    <t>Hornkamp</t>
  </si>
  <si>
    <t>D. Rots_TWE</t>
  </si>
  <si>
    <t>D. Rots</t>
  </si>
  <si>
    <t>Van Overeem_UTR</t>
  </si>
  <si>
    <t>Van Overeem</t>
  </si>
  <si>
    <t>UTR</t>
  </si>
  <si>
    <t>Lammers_TWE</t>
  </si>
  <si>
    <t>Lammers</t>
  </si>
  <si>
    <t>Targhalline_FEY</t>
  </si>
  <si>
    <t>Targhalline</t>
  </si>
  <si>
    <t>Kramer_GAE</t>
  </si>
  <si>
    <t>Kramer</t>
  </si>
  <si>
    <t>GAE</t>
  </si>
  <si>
    <t>Ogawa_NEC</t>
  </si>
  <si>
    <t>Ogawa</t>
  </si>
  <si>
    <t>Van Gassel_EXC</t>
  </si>
  <si>
    <t>Van Gassel</t>
  </si>
  <si>
    <t>EXC</t>
  </si>
  <si>
    <t>De Busser_AZ</t>
  </si>
  <si>
    <t>De Busser</t>
  </si>
  <si>
    <t>De Jonge_GRO</t>
  </si>
  <si>
    <t>De Jonge</t>
  </si>
  <si>
    <t>GRO</t>
  </si>
  <si>
    <t>Weghorst_TWE</t>
  </si>
  <si>
    <t>Weghorst</t>
  </si>
  <si>
    <t>D. De Wit_UTR</t>
  </si>
  <si>
    <t>D. De Wit</t>
  </si>
  <si>
    <t>Sano_NEC</t>
  </si>
  <si>
    <t>Sano</t>
  </si>
  <si>
    <t>Van Duijn_AZ</t>
  </si>
  <si>
    <t>Van Duijn</t>
  </si>
  <si>
    <t>Resink_GRO</t>
  </si>
  <si>
    <t>Resink</t>
  </si>
  <si>
    <t>Watanabe_FEY</t>
  </si>
  <si>
    <t>Watanabe</t>
  </si>
  <si>
    <t>Vente_HEE</t>
  </si>
  <si>
    <t>Vente</t>
  </si>
  <si>
    <t>Brouwer_TEL</t>
  </si>
  <si>
    <t>Brouwer</t>
  </si>
  <si>
    <t>Sanches Fernandes_EXC</t>
  </si>
  <si>
    <t>Sanches Fernandes</t>
  </si>
  <si>
    <t>Berghuis_AJA</t>
  </si>
  <si>
    <t>Berghuis</t>
  </si>
  <si>
    <t>Barkas_UTR</t>
  </si>
  <si>
    <t>Barkas</t>
  </si>
  <si>
    <t>Nejašmić_NEC</t>
  </si>
  <si>
    <t>Nejašmić</t>
  </si>
  <si>
    <t>Oosting_PEC</t>
  </si>
  <si>
    <t>Oosting</t>
  </si>
  <si>
    <t>Man_PSV</t>
  </si>
  <si>
    <t>Man</t>
  </si>
  <si>
    <t>Klaverboer_HEE</t>
  </si>
  <si>
    <t>Klaverboer</t>
  </si>
  <si>
    <t>Braude_HEE</t>
  </si>
  <si>
    <t>Braude</t>
  </si>
  <si>
    <t>Kwakman_AZ</t>
  </si>
  <si>
    <t>Kwakman</t>
  </si>
  <si>
    <t>Meerdink_AZ</t>
  </si>
  <si>
    <t>Meerdink</t>
  </si>
  <si>
    <t>Willumsson_GRO</t>
  </si>
  <si>
    <t>Willumsson</t>
  </si>
  <si>
    <t>Taha_TWE</t>
  </si>
  <si>
    <t>Taha</t>
  </si>
  <si>
    <t>Steijn_FEY</t>
  </si>
  <si>
    <t>Steijn</t>
  </si>
  <si>
    <t>Edvardsen_GAE</t>
  </si>
  <si>
    <t>Edvardsen</t>
  </si>
  <si>
    <t>Sandler_NEC</t>
  </si>
  <si>
    <t>Sandler</t>
  </si>
  <si>
    <t>Lebreton_NEC</t>
  </si>
  <si>
    <t>Lebreton</t>
  </si>
  <si>
    <t>Zonneveld_SPA</t>
  </si>
  <si>
    <t>Zonneveld</t>
  </si>
  <si>
    <t>Naujoks_EXC</t>
  </si>
  <si>
    <t>Naujoks</t>
  </si>
  <si>
    <t>Itakura_AJA</t>
  </si>
  <si>
    <t>Itakura</t>
  </si>
  <si>
    <t>Klaassen_AJA</t>
  </si>
  <si>
    <t>Klaassen</t>
  </si>
  <si>
    <t>Goes_AZ</t>
  </si>
  <si>
    <t>Goes</t>
  </si>
  <si>
    <t>Land_GRO</t>
  </si>
  <si>
    <t>Land</t>
  </si>
  <si>
    <t>Zerrouki_TWE</t>
  </si>
  <si>
    <t>Zerrouki</t>
  </si>
  <si>
    <t>Zagré_UTR</t>
  </si>
  <si>
    <t>Zagré</t>
  </si>
  <si>
    <t>Crettaz_NEC</t>
  </si>
  <si>
    <t>Crettaz</t>
  </si>
  <si>
    <t>Aertssen_PEC</t>
  </si>
  <si>
    <t>Aertssen</t>
  </si>
  <si>
    <t>Til_PSV</t>
  </si>
  <si>
    <t>Til</t>
  </si>
  <si>
    <t>Meerveld_HEE</t>
  </si>
  <si>
    <t>Meerveld</t>
  </si>
  <si>
    <t>Martins Indi_SPA</t>
  </si>
  <si>
    <t>Martins Indi</t>
  </si>
  <si>
    <t>Van Bergen_SPA</t>
  </si>
  <si>
    <t>Van Bergen</t>
  </si>
  <si>
    <t>Widell_EXC</t>
  </si>
  <si>
    <t>Widell</t>
  </si>
  <si>
    <t>Yegoian_EXC</t>
  </si>
  <si>
    <t>Yegoian</t>
  </si>
  <si>
    <t>Rosa_AJA</t>
  </si>
  <si>
    <t>Rosa</t>
  </si>
  <si>
    <t>Vaessen_GRO</t>
  </si>
  <si>
    <t>Vaessen</t>
  </si>
  <si>
    <t>Rente_GRO</t>
  </si>
  <si>
    <t>Rente</t>
  </si>
  <si>
    <t>Van Bergen_GRO</t>
  </si>
  <si>
    <t>Lemkin_TWE</t>
  </si>
  <si>
    <t>Lemkin</t>
  </si>
  <si>
    <t>Van den Belt_TWE</t>
  </si>
  <si>
    <t>Van den Belt</t>
  </si>
  <si>
    <t>Meulensteen_GAE</t>
  </si>
  <si>
    <t>Meulensteen</t>
  </si>
  <si>
    <t>Namli_PEC</t>
  </si>
  <si>
    <t>Namli</t>
  </si>
  <si>
    <t>Mito_SPA</t>
  </si>
  <si>
    <t>Mito</t>
  </si>
  <si>
    <t>Kaplan_AJA</t>
  </si>
  <si>
    <t>Kaplan</t>
  </si>
  <si>
    <t>Chávez_AZ</t>
  </si>
  <si>
    <t>Chávez</t>
  </si>
  <si>
    <t>Koopmeiners_AZ</t>
  </si>
  <si>
    <t>Koopmeiners</t>
  </si>
  <si>
    <t>Blokzijl_GRO</t>
  </si>
  <si>
    <t>Blokzijl</t>
  </si>
  <si>
    <t>Wellenreuther_FEY</t>
  </si>
  <si>
    <t>Wellenreuther</t>
  </si>
  <si>
    <t>Deijl_FEY</t>
  </si>
  <si>
    <t>Deijl</t>
  </si>
  <si>
    <t>James_GAE</t>
  </si>
  <si>
    <t>James</t>
  </si>
  <si>
    <t>Suray_GAE</t>
  </si>
  <si>
    <t>Suray</t>
  </si>
  <si>
    <t>Gasiorowski_PSV</t>
  </si>
  <si>
    <t>Gasiorowski</t>
  </si>
  <si>
    <t>Bajraktarevic_PSV</t>
  </si>
  <si>
    <t>Bajraktarevic</t>
  </si>
  <si>
    <t>Zagaritis_HEE</t>
  </si>
  <si>
    <t>Zagaritis</t>
  </si>
  <si>
    <t>Peersman_TEL</t>
  </si>
  <si>
    <t>Peersman</t>
  </si>
  <si>
    <t>Gaaei_AJA</t>
  </si>
  <si>
    <t>Gaaei</t>
  </si>
  <si>
    <t>Gloukh_AJA</t>
  </si>
  <si>
    <t>Gloukh</t>
  </si>
  <si>
    <t>Bounida_AJA</t>
  </si>
  <si>
    <t>Bounida</t>
  </si>
  <si>
    <t>Owusu-Oduro_AZ</t>
  </si>
  <si>
    <t>Owusu-Oduro</t>
  </si>
  <si>
    <t>Kasius_AZ</t>
  </si>
  <si>
    <t>Kasius</t>
  </si>
  <si>
    <t>M. De Wit_AZ</t>
  </si>
  <si>
    <t>M. De Wit</t>
  </si>
  <si>
    <t>Clasie_AZ</t>
  </si>
  <si>
    <t>Clasie</t>
  </si>
  <si>
    <t>Smit_AZ</t>
  </si>
  <si>
    <t>Smit</t>
  </si>
  <si>
    <t>Boogaard_WIL</t>
  </si>
  <si>
    <t>Boogaard</t>
  </si>
  <si>
    <t>WIL</t>
  </si>
  <si>
    <t>Zawada_GRO</t>
  </si>
  <si>
    <t>Zawada</t>
  </si>
  <si>
    <t>Adelgaard_TWE</t>
  </si>
  <si>
    <t>Adelgaard</t>
  </si>
  <si>
    <t>Horemans_UTR</t>
  </si>
  <si>
    <t>Horemans</t>
  </si>
  <si>
    <t>Jensen_UTR</t>
  </si>
  <si>
    <t>Jensen</t>
  </si>
  <si>
    <t>Cathline_UTR</t>
  </si>
  <si>
    <t>Cathline</t>
  </si>
  <si>
    <t>Alarcón_UTR</t>
  </si>
  <si>
    <t>Alarcón</t>
  </si>
  <si>
    <t>Ahmedhodzic_FEY</t>
  </si>
  <si>
    <t>Ahmedhodzic</t>
  </si>
  <si>
    <t>Dahlhaus_FOR</t>
  </si>
  <si>
    <t>Dahlhaus</t>
  </si>
  <si>
    <t>Ouaissa_NEC</t>
  </si>
  <si>
    <t>Ouaissa</t>
  </si>
  <si>
    <t>Velanas_PEC</t>
  </si>
  <si>
    <t>Velanas</t>
  </si>
  <si>
    <t>Rivera_HEE</t>
  </si>
  <si>
    <t>Rivera</t>
  </si>
  <si>
    <t>Quintero_SPA</t>
  </si>
  <si>
    <t>Quintero</t>
  </si>
  <si>
    <t>Meissen_EXC</t>
  </si>
  <si>
    <t>Meissen</t>
  </si>
  <si>
    <t>De Regt_EXC</t>
  </si>
  <si>
    <t>De Regt</t>
  </si>
  <si>
    <t>Sutalo_AJA</t>
  </si>
  <si>
    <t>Sutalo</t>
  </si>
  <si>
    <t>Regeer_AJA</t>
  </si>
  <si>
    <t>Regeer</t>
  </si>
  <si>
    <t>Zoet_AZ</t>
  </si>
  <si>
    <t>Zoet</t>
  </si>
  <si>
    <t>Schreuders_GRO</t>
  </si>
  <si>
    <t>Schreuders</t>
  </si>
  <si>
    <t>Pasveer_TWE</t>
  </si>
  <si>
    <t>Pasveer</t>
  </si>
  <si>
    <t>Pröpper_TWE</t>
  </si>
  <si>
    <t>Pröpper</t>
  </si>
  <si>
    <t>Offerhaus_UTR</t>
  </si>
  <si>
    <t>Offerhaus</t>
  </si>
  <si>
    <t>Read_FEY</t>
  </si>
  <si>
    <t>Read</t>
  </si>
  <si>
    <t>Branderhorst_FOR</t>
  </si>
  <si>
    <t>Branderhorst</t>
  </si>
  <si>
    <t>Brittijn_FOR</t>
  </si>
  <si>
    <t>Brittijn</t>
  </si>
  <si>
    <t>Sampsted_GAE</t>
  </si>
  <si>
    <t>Sampsted</t>
  </si>
  <si>
    <t>Ouwejan_NEC</t>
  </si>
  <si>
    <t>Ouwejan</t>
  </si>
  <si>
    <t>Monteiro_NEC</t>
  </si>
  <si>
    <t>Monteiro</t>
  </si>
  <si>
    <t>De Graaff_PEC</t>
  </si>
  <si>
    <t>De Graaff</t>
  </si>
  <si>
    <t>Paes_AJA</t>
  </si>
  <si>
    <t>Paes</t>
  </si>
  <si>
    <t>Mokio_AJA</t>
  </si>
  <si>
    <t>Mokio</t>
  </si>
  <si>
    <t>Oufkir_AZ</t>
  </si>
  <si>
    <t>Oufkir</t>
  </si>
  <si>
    <t>Bruns_TWE</t>
  </si>
  <si>
    <t>Bruns</t>
  </si>
  <si>
    <t>Didden_UTR</t>
  </si>
  <si>
    <t>Didden</t>
  </si>
  <si>
    <t>Valente_FEY</t>
  </si>
  <si>
    <t>Valente</t>
  </si>
  <si>
    <t>Koopmans_FOR</t>
  </si>
  <si>
    <t>Koopmans</t>
  </si>
  <si>
    <t>Sigurdarson_GAE</t>
  </si>
  <si>
    <t>Sigurdarson</t>
  </si>
  <si>
    <t>Graves_PEC</t>
  </si>
  <si>
    <t>Graves</t>
  </si>
  <si>
    <t>Kovar_PSV</t>
  </si>
  <si>
    <t>Kovar</t>
  </si>
  <si>
    <t>Dest_PSV</t>
  </si>
  <si>
    <t>Dest</t>
  </si>
  <si>
    <t>Van Bommel_PSV</t>
  </si>
  <si>
    <t>Van Bommel</t>
  </si>
  <si>
    <t>Schouten_PSV</t>
  </si>
  <si>
    <t>Schouten</t>
  </si>
  <si>
    <t>Wanner_PSV</t>
  </si>
  <si>
    <t>Wanner</t>
  </si>
  <si>
    <t>Linday_HEE</t>
  </si>
  <si>
    <t>Linday</t>
  </si>
  <si>
    <t>Verschuren_SPA</t>
  </si>
  <si>
    <t>Verschuren</t>
  </si>
  <si>
    <t>Reiziger_TEL</t>
  </si>
  <si>
    <t>Reiziger</t>
  </si>
  <si>
    <t>Owusu_TEL</t>
  </si>
  <si>
    <t>Owusu</t>
  </si>
  <si>
    <t>Hetli_TEL</t>
  </si>
  <si>
    <t>Hetli</t>
  </si>
  <si>
    <t>Wijndal_AJA</t>
  </si>
  <si>
    <t>Wijndal</t>
  </si>
  <si>
    <t>Bouwman_AJA</t>
  </si>
  <si>
    <t>Bouwman</t>
  </si>
  <si>
    <t>Gooijer_AJA</t>
  </si>
  <si>
    <t>Gooijer</t>
  </si>
  <si>
    <t>Dijkstra_AZ</t>
  </si>
  <si>
    <t>Dijkstra</t>
  </si>
  <si>
    <t>Van Duijl_AZ</t>
  </si>
  <si>
    <t>Van Duijl</t>
  </si>
  <si>
    <t>Jensen_AZ</t>
  </si>
  <si>
    <t>Patati_AZ</t>
  </si>
  <si>
    <t>Patati</t>
  </si>
  <si>
    <t>Sín_AZ</t>
  </si>
  <si>
    <t>Sín</t>
  </si>
  <si>
    <t>Schouten_AZ</t>
  </si>
  <si>
    <t>Mercera_GRO</t>
  </si>
  <si>
    <t>Mercera</t>
  </si>
  <si>
    <t>Clement_GRO</t>
  </si>
  <si>
    <t>Clement</t>
  </si>
  <si>
    <t>Unnerstall_TWE</t>
  </si>
  <si>
    <t>Unnerstall</t>
  </si>
  <si>
    <t>Nijstad_TWE</t>
  </si>
  <si>
    <t>Nijstad</t>
  </si>
  <si>
    <t>Ørjasæter_TWE</t>
  </si>
  <si>
    <t>Ørjasæter</t>
  </si>
  <si>
    <t>Ünüvar_TWE</t>
  </si>
  <si>
    <t>Ünüvar</t>
  </si>
  <si>
    <t>Engwanda_UTR</t>
  </si>
  <si>
    <t>Engwanda</t>
  </si>
  <si>
    <t>Blake_UTR</t>
  </si>
  <si>
    <t>Blake</t>
  </si>
  <si>
    <t>Van den Berg_UTR</t>
  </si>
  <si>
    <t>Van den Berg</t>
  </si>
  <si>
    <t>Kasanwirjo_FEY</t>
  </si>
  <si>
    <t>Kasanwirjo</t>
  </si>
  <si>
    <t>Moder_FEY</t>
  </si>
  <si>
    <t>Moder</t>
  </si>
  <si>
    <t>Márquez_FOR</t>
  </si>
  <si>
    <t>Márquez</t>
  </si>
  <si>
    <t>Peterson_FOR</t>
  </si>
  <si>
    <t>Peterson</t>
  </si>
  <si>
    <t>Nauber_GAE</t>
  </si>
  <si>
    <t>Nauber</t>
  </si>
  <si>
    <t>Proper_HEE</t>
  </si>
  <si>
    <t>Proper</t>
  </si>
  <si>
    <t>Thomas_PEC</t>
  </si>
  <si>
    <t>Thomas</t>
  </si>
  <si>
    <t>Sildillia_PSV</t>
  </si>
  <si>
    <t>Sildillia</t>
  </si>
  <si>
    <t>Ideho_SPA</t>
  </si>
  <si>
    <t>Ideho</t>
  </si>
  <si>
    <t>Rossen_TEL</t>
  </si>
  <si>
    <t>Rossen</t>
  </si>
  <si>
    <t>Hartjes_EXC</t>
  </si>
  <si>
    <t>Hartjes</t>
  </si>
  <si>
    <t>Dolberg_AJA</t>
  </si>
  <si>
    <t>Dolberg</t>
  </si>
  <si>
    <t>Van der Werff_GRO</t>
  </si>
  <si>
    <t>Van der Werff</t>
  </si>
  <si>
    <t>Pjaca_TWE</t>
  </si>
  <si>
    <t>Pjaca</t>
  </si>
  <si>
    <t>Kjølø_TWE</t>
  </si>
  <si>
    <t>Kjølø</t>
  </si>
  <si>
    <t>Ogidi Nwankwo_UTR</t>
  </si>
  <si>
    <t>Ogidi Nwankwo</t>
  </si>
  <si>
    <t>Min_UTR</t>
  </si>
  <si>
    <t>Min</t>
  </si>
  <si>
    <t>Smal_FEY</t>
  </si>
  <si>
    <t>Smal</t>
  </si>
  <si>
    <t>Sliti_FEY</t>
  </si>
  <si>
    <t>Sliti</t>
  </si>
  <si>
    <t>Borges_FEY</t>
  </si>
  <si>
    <t>Borges</t>
  </si>
  <si>
    <t>Tengstedt_FEY</t>
  </si>
  <si>
    <t>Tengstedt</t>
  </si>
  <si>
    <t>Hubner_FOR</t>
  </si>
  <si>
    <t>Hubner</t>
  </si>
  <si>
    <t>Michut_FOR</t>
  </si>
  <si>
    <t>Michut</t>
  </si>
  <si>
    <t>Oukili_FOR</t>
  </si>
  <si>
    <t>Oukili</t>
  </si>
  <si>
    <t>Linthorst_GAE</t>
  </si>
  <si>
    <t>Linthorst</t>
  </si>
  <si>
    <t>Fonville_NEC</t>
  </si>
  <si>
    <t>Fonville</t>
  </si>
  <si>
    <t>Van Crooij_NEC</t>
  </si>
  <si>
    <t>Van Crooij</t>
  </si>
  <si>
    <t>Viergever_PEC</t>
  </si>
  <si>
    <t>Viergever</t>
  </si>
  <si>
    <t>Obispo_PSV</t>
  </si>
  <si>
    <t>Obispo</t>
  </si>
  <si>
    <t>Driouech_PSV</t>
  </si>
  <si>
    <t>Driouech</t>
  </si>
  <si>
    <t>Fernandez_PSV</t>
  </si>
  <si>
    <t>Fernandez</t>
  </si>
  <si>
    <t>Kersten_HEE</t>
  </si>
  <si>
    <t>Kersten</t>
  </si>
  <si>
    <t>Willemsen_HEE</t>
  </si>
  <si>
    <t>Willemsen</t>
  </si>
  <si>
    <t>Tejan_TEL</t>
  </si>
  <si>
    <t>Tejan</t>
  </si>
  <si>
    <t>Heerkens_AJA</t>
  </si>
  <si>
    <t>Heerkens</t>
  </si>
  <si>
    <t>Reverson_AJA</t>
  </si>
  <si>
    <t>Reverson</t>
  </si>
  <si>
    <t>Blind_AJA</t>
  </si>
  <si>
    <t>Blind</t>
  </si>
  <si>
    <t>Johnson_AJA</t>
  </si>
  <si>
    <t>Johnson</t>
  </si>
  <si>
    <t>Henrique_AJA</t>
  </si>
  <si>
    <t>Henrique</t>
  </si>
  <si>
    <t>Edvardsen_AJA</t>
  </si>
  <si>
    <t>Carrizo_AJA</t>
  </si>
  <si>
    <t>Carrizo</t>
  </si>
  <si>
    <t>Nash_AJA</t>
  </si>
  <si>
    <t>Nash</t>
  </si>
  <si>
    <t>Ouazane_AJA</t>
  </si>
  <si>
    <t>Ouazane</t>
  </si>
  <si>
    <t>Van Axel Dongen_AJA</t>
  </si>
  <si>
    <t>Van Axel Dongen</t>
  </si>
  <si>
    <t>Faberski_AJA</t>
  </si>
  <si>
    <t>Faberski</t>
  </si>
  <si>
    <t>Konadu_AJA</t>
  </si>
  <si>
    <t>Konadu</t>
  </si>
  <si>
    <t>Leonardo_AJA</t>
  </si>
  <si>
    <t>Leonardo</t>
  </si>
  <si>
    <t>Verhulst_AZ</t>
  </si>
  <si>
    <t>Verhulst</t>
  </si>
  <si>
    <t>Maikuma_AZ</t>
  </si>
  <si>
    <t>Maikuma</t>
  </si>
  <si>
    <t>Dekker_AZ</t>
  </si>
  <si>
    <t>Dekker</t>
  </si>
  <si>
    <t>Ichihara_AZ</t>
  </si>
  <si>
    <t>Ichihara</t>
  </si>
  <si>
    <t>Sadiq_AZ</t>
  </si>
  <si>
    <t>Sadiq</t>
  </si>
  <si>
    <t>Lahdo_AZ</t>
  </si>
  <si>
    <t>Lahdo</t>
  </si>
  <si>
    <t>Daal_AZ</t>
  </si>
  <si>
    <t>Daal</t>
  </si>
  <si>
    <t>Bouziane_AZ</t>
  </si>
  <si>
    <t>Bouziane</t>
  </si>
  <si>
    <t>Robbemond_AZ</t>
  </si>
  <si>
    <t>Robbemond</t>
  </si>
  <si>
    <t>Kovács_AZ</t>
  </si>
  <si>
    <t>Kovács</t>
  </si>
  <si>
    <t>Janse_GRO</t>
  </si>
  <si>
    <t>Prins_GRO</t>
  </si>
  <si>
    <t>Prins</t>
  </si>
  <si>
    <t>Emeran_GRO</t>
  </si>
  <si>
    <t>Emeran</t>
  </si>
  <si>
    <t>Hernes_GRO</t>
  </si>
  <si>
    <t>Hernes</t>
  </si>
  <si>
    <t>Eggens_GRO</t>
  </si>
  <si>
    <t>Eggens</t>
  </si>
  <si>
    <t>Mesbahi_TWE</t>
  </si>
  <si>
    <t>Mesbahi</t>
  </si>
  <si>
    <t>Kurowski_TWE</t>
  </si>
  <si>
    <t>Kurowski</t>
  </si>
  <si>
    <t>Weidmann_TWE</t>
  </si>
  <si>
    <t>Weidmann</t>
  </si>
  <si>
    <t>Booth_TWE</t>
  </si>
  <si>
    <t>Booth</t>
  </si>
  <si>
    <t>Kuster_TWE</t>
  </si>
  <si>
    <t>Kuster</t>
  </si>
  <si>
    <t>Verschueren_TWE</t>
  </si>
  <si>
    <t>Verschueren</t>
  </si>
  <si>
    <t>Besselink_TWE</t>
  </si>
  <si>
    <t>Besselink</t>
  </si>
  <si>
    <t>Ltaief_TWE</t>
  </si>
  <si>
    <t>Ltaief</t>
  </si>
  <si>
    <t>Vennegoor of Hesselink_TWE</t>
  </si>
  <si>
    <t>Vennegoor of Hesselink</t>
  </si>
  <si>
    <t>Brouwer_UTR</t>
  </si>
  <si>
    <t>Gadellaa_UTR</t>
  </si>
  <si>
    <t>Gadellaa</t>
  </si>
  <si>
    <t>Eppink_UTR</t>
  </si>
  <si>
    <t>Eppink</t>
  </si>
  <si>
    <t>Vesterlund_UTR</t>
  </si>
  <si>
    <t>Vesterlund</t>
  </si>
  <si>
    <t>Eerdhuijzen_UTR</t>
  </si>
  <si>
    <t>Eerdhuijzen</t>
  </si>
  <si>
    <t>Adiele_UTR</t>
  </si>
  <si>
    <t>Adiele</t>
  </si>
  <si>
    <t>Paredes_UTR</t>
  </si>
  <si>
    <t>Paredes</t>
  </si>
  <si>
    <t>Kloosterboer_UTR</t>
  </si>
  <si>
    <t>Kloosterboer</t>
  </si>
  <si>
    <t>Iqbal_UTR</t>
  </si>
  <si>
    <t>Iqbal</t>
  </si>
  <si>
    <t>Van Ommeren_UTR</t>
  </si>
  <si>
    <t>Van Ommeren</t>
  </si>
  <si>
    <t>El Arguioui_CAM</t>
  </si>
  <si>
    <t>El Arguioui</t>
  </si>
  <si>
    <t>CAM</t>
  </si>
  <si>
    <t>Agougil_UTR</t>
  </si>
  <si>
    <t>Agougil</t>
  </si>
  <si>
    <t>Menzo_UTR</t>
  </si>
  <si>
    <t>Menzo</t>
  </si>
  <si>
    <t>Jonathans_UTR</t>
  </si>
  <si>
    <t>Jonathans</t>
  </si>
  <si>
    <t>Stepanov_UTR</t>
  </si>
  <si>
    <t>Stepanov</t>
  </si>
  <si>
    <t>Ohio_UTR</t>
  </si>
  <si>
    <t>Ohio</t>
  </si>
  <si>
    <t>Ernst_FEY</t>
  </si>
  <si>
    <t>Ernst</t>
  </si>
  <si>
    <t>St. Juste_FEY</t>
  </si>
  <si>
    <t>St. Juste</t>
  </si>
  <si>
    <t>Nieuwkoop_FEY</t>
  </si>
  <si>
    <t>Nieuwkoop</t>
  </si>
  <si>
    <t>Lotomba_FEY</t>
  </si>
  <si>
    <t>Lotomba</t>
  </si>
  <si>
    <t>Mármol_FEY</t>
  </si>
  <si>
    <t>Mármol</t>
  </si>
  <si>
    <t>Kraaijeveld_FEY</t>
  </si>
  <si>
    <t>Kraaijeveld</t>
  </si>
  <si>
    <t>Stengs_AZ</t>
  </si>
  <si>
    <t>Stengs</t>
  </si>
  <si>
    <t>Diarra_FEY</t>
  </si>
  <si>
    <t>Diarra</t>
  </si>
  <si>
    <t>Van den Elshout_FEY</t>
  </si>
  <si>
    <t>Van den Elshout</t>
  </si>
  <si>
    <t>Vanhoutte_FEY</t>
  </si>
  <si>
    <t>Vanhoutte</t>
  </si>
  <si>
    <t>Carrillo_FEY</t>
  </si>
  <si>
    <t>Carrillo</t>
  </si>
  <si>
    <t>Ferri_FEY</t>
  </si>
  <si>
    <t>Ferri</t>
  </si>
  <si>
    <t>Van Ottele_FOR</t>
  </si>
  <si>
    <t>Van Ottele</t>
  </si>
  <si>
    <t>Pinto_FOR</t>
  </si>
  <si>
    <t>Pinto</t>
  </si>
  <si>
    <t>Wylin_FOR</t>
  </si>
  <si>
    <t>Wylin</t>
  </si>
  <si>
    <t>De Groot_FOR</t>
  </si>
  <si>
    <t>De Groot</t>
  </si>
  <si>
    <t>t Zand_FOR</t>
  </si>
  <si>
    <t>t Zand</t>
  </si>
  <si>
    <t>Simons_FOR</t>
  </si>
  <si>
    <t>Simons</t>
  </si>
  <si>
    <t>Zeefuik_FOR</t>
  </si>
  <si>
    <t>Zeefuik</t>
  </si>
  <si>
    <t>Romeny_FOR</t>
  </si>
  <si>
    <t>Romeny</t>
  </si>
  <si>
    <t>Haug_GAE</t>
  </si>
  <si>
    <t>Haug</t>
  </si>
  <si>
    <t>Dirksen_GAE</t>
  </si>
  <si>
    <t>Dirksen</t>
  </si>
  <si>
    <t>Waayers_GAE</t>
  </si>
  <si>
    <t>Waayers</t>
  </si>
  <si>
    <t>Van Zwam_GAE</t>
  </si>
  <si>
    <t>Van Zwam</t>
  </si>
  <si>
    <t>Galvez_GAE</t>
  </si>
  <si>
    <t>Galvez</t>
  </si>
  <si>
    <t>Salah Rahmouni_GAE</t>
  </si>
  <si>
    <t>Salah Rahmouni</t>
  </si>
  <si>
    <t>Twigt_GAE</t>
  </si>
  <si>
    <t>Twigt</t>
  </si>
  <si>
    <t>Tengstedt_GAE</t>
  </si>
  <si>
    <t>Sivertsen_GAE</t>
  </si>
  <si>
    <t>Sivertsen</t>
  </si>
  <si>
    <t>Margaret_GAE</t>
  </si>
  <si>
    <t>Margaret</t>
  </si>
  <si>
    <t>Baeten_GAE</t>
  </si>
  <si>
    <t>Baeten</t>
  </si>
  <si>
    <t>Flataker_GAE</t>
  </si>
  <si>
    <t>Flataker</t>
  </si>
  <si>
    <t>Pereira_NEC</t>
  </si>
  <si>
    <t>Pereira</t>
  </si>
  <si>
    <t>Nuytinck_NEC</t>
  </si>
  <si>
    <t>Nuytinck</t>
  </si>
  <si>
    <t>Storm_NEC</t>
  </si>
  <si>
    <t>Storm</t>
  </si>
  <si>
    <t>Sbai_NEC</t>
  </si>
  <si>
    <t>Sbai</t>
  </si>
  <si>
    <t>Willumsson_NEC</t>
  </si>
  <si>
    <t>Van de Wiel_NEC</t>
  </si>
  <si>
    <t>Van de Wiel</t>
  </si>
  <si>
    <t>Tahaui_NEC</t>
  </si>
  <si>
    <t>Tahaui</t>
  </si>
  <si>
    <t>Mor_NEC</t>
  </si>
  <si>
    <t>Mor</t>
  </si>
  <si>
    <t>Schendelaar_PEC</t>
  </si>
  <si>
    <t>Schendelaar</t>
  </si>
  <si>
    <t>Verduin_PEC</t>
  </si>
  <si>
    <t>Verduin</t>
  </si>
  <si>
    <t>Floranus_PEC</t>
  </si>
  <si>
    <t>Floranus</t>
  </si>
  <si>
    <t>Velthuis_PEC</t>
  </si>
  <si>
    <t>Velthuis</t>
  </si>
  <si>
    <t>Fichtinger_PEC</t>
  </si>
  <si>
    <t>Fichtinger</t>
  </si>
  <si>
    <t>Mbayo_PEC</t>
  </si>
  <si>
    <t>Mbayo</t>
  </si>
  <si>
    <t>Pereira da Gama_PEC</t>
  </si>
  <si>
    <t>Pereira da Gama</t>
  </si>
  <si>
    <t>Reiziger_PEC</t>
  </si>
  <si>
    <t>Sommer_PEC</t>
  </si>
  <si>
    <t>Sommer</t>
  </si>
  <si>
    <t>Sørensen_PEC</t>
  </si>
  <si>
    <t>Sørensen</t>
  </si>
  <si>
    <t>Olij_PSV</t>
  </si>
  <si>
    <t>Olij</t>
  </si>
  <si>
    <t>Smolenaars_PSV</t>
  </si>
  <si>
    <t>Smolenaars</t>
  </si>
  <si>
    <t>Flamingo_PSV</t>
  </si>
  <si>
    <t>Flamingo</t>
  </si>
  <si>
    <t>Kuhn_PSV</t>
  </si>
  <si>
    <t>Kuhn</t>
  </si>
  <si>
    <t>Merién_PSV</t>
  </si>
  <si>
    <t>Merién</t>
  </si>
  <si>
    <t>Van den Berg_PSV</t>
  </si>
  <si>
    <t>Bawuah_PSV</t>
  </si>
  <si>
    <t>Bawuah</t>
  </si>
  <si>
    <t>Koller_PSV</t>
  </si>
  <si>
    <t>Koller</t>
  </si>
  <si>
    <t>Pléa_PSV</t>
  </si>
  <si>
    <t>Pléa</t>
  </si>
  <si>
    <t>Noppert_HEE</t>
  </si>
  <si>
    <t>Noppert</t>
  </si>
  <si>
    <t>Hopland_HEE</t>
  </si>
  <si>
    <t>Hopland</t>
  </si>
  <si>
    <t>Petrov_HEE</t>
  </si>
  <si>
    <t>Petrov</t>
  </si>
  <si>
    <t>Egbring_HEE</t>
  </si>
  <si>
    <t>Egbring</t>
  </si>
  <si>
    <t>Bladi_HEE</t>
  </si>
  <si>
    <t>Bladi</t>
  </si>
  <si>
    <t>Smans_HEE</t>
  </si>
  <si>
    <t>Smans</t>
  </si>
  <si>
    <t>Gürbüz_WIL</t>
  </si>
  <si>
    <t>Gürbüz</t>
  </si>
  <si>
    <t>Oyen_HEE</t>
  </si>
  <si>
    <t>Oyen</t>
  </si>
  <si>
    <t>Bednarek_SPA</t>
  </si>
  <si>
    <t>Bednarek</t>
  </si>
  <si>
    <t>Kleijn_SPA</t>
  </si>
  <si>
    <t>Kleijn</t>
  </si>
  <si>
    <t>Reith_SPA</t>
  </si>
  <si>
    <t>Reith</t>
  </si>
  <si>
    <t>Kuipers_SPA</t>
  </si>
  <si>
    <t>Kuipers</t>
  </si>
  <si>
    <t>Vianello_SPA</t>
  </si>
  <si>
    <t>Vianello</t>
  </si>
  <si>
    <t>Martes_SPA</t>
  </si>
  <si>
    <t>Martes</t>
  </si>
  <si>
    <t>Toornstra_SPA</t>
  </si>
  <si>
    <t>Toornstra</t>
  </si>
  <si>
    <t>Santos_SPA</t>
  </si>
  <si>
    <t>Santos</t>
  </si>
  <si>
    <t>Baas_SPA</t>
  </si>
  <si>
    <t>Terho_SPA</t>
  </si>
  <si>
    <t>Terho</t>
  </si>
  <si>
    <t>Thórisson_SPA</t>
  </si>
  <si>
    <t>Thórisson</t>
  </si>
  <si>
    <t>Oudsten_TEL</t>
  </si>
  <si>
    <t>Oudsten</t>
  </si>
  <si>
    <t>Alders_TEL</t>
  </si>
  <si>
    <t>Alders</t>
  </si>
  <si>
    <t>Soualhia_TEL</t>
  </si>
  <si>
    <t>Soualhia</t>
  </si>
  <si>
    <t>Demircan_TEL</t>
  </si>
  <si>
    <t>Demircan</t>
  </si>
  <si>
    <t>Rui Mendes_TEL</t>
  </si>
  <si>
    <t>Rui Mendes</t>
  </si>
  <si>
    <t>Seedorf_TEL</t>
  </si>
  <si>
    <t>Seedorf</t>
  </si>
  <si>
    <t>Raatsie_EXC</t>
  </si>
  <si>
    <t>Raatsie</t>
  </si>
  <si>
    <t>Biai_EXC</t>
  </si>
  <si>
    <t>Biai</t>
  </si>
  <si>
    <t>Henderikx_EXC</t>
  </si>
  <si>
    <t>Henderikx</t>
  </si>
  <si>
    <t>Martens_EXC</t>
  </si>
  <si>
    <t>Martens</t>
  </si>
  <si>
    <t>Janssen_EXC</t>
  </si>
  <si>
    <t>Janssen</t>
  </si>
  <si>
    <t>K. Bos_EXC</t>
  </si>
  <si>
    <t>K. Bos</t>
  </si>
  <si>
    <t>Van de Wetering_EXC</t>
  </si>
  <si>
    <t>Van de Wetering</t>
  </si>
  <si>
    <t>Plug_EXC</t>
  </si>
  <si>
    <t>Plug</t>
  </si>
  <si>
    <t>Carlén_EXC</t>
  </si>
  <si>
    <t>Carlén</t>
  </si>
  <si>
    <t>Tielemans_EXC</t>
  </si>
  <si>
    <t>Tielemans</t>
  </si>
  <si>
    <t>Van Vianen_EXC</t>
  </si>
  <si>
    <t>Van Vianen</t>
  </si>
  <si>
    <t>Finey_EXC</t>
  </si>
  <si>
    <t>Finey</t>
  </si>
  <si>
    <t>Silva Timas_EXC</t>
  </si>
  <si>
    <t>Silva Timas</t>
  </si>
  <si>
    <t>Nikièma_ADO</t>
  </si>
  <si>
    <t>Nikièma</t>
  </si>
  <si>
    <t>ADO</t>
  </si>
  <si>
    <t>Thiede_ADO</t>
  </si>
  <si>
    <t>Thiede</t>
  </si>
  <si>
    <t>Hokke_ADO</t>
  </si>
  <si>
    <t>Hokke</t>
  </si>
  <si>
    <t>Mulder_ADO</t>
  </si>
  <si>
    <t>Mulder</t>
  </si>
  <si>
    <t>Sylla_ADO</t>
  </si>
  <si>
    <t>Sylla</t>
  </si>
  <si>
    <t>Waem_ADO</t>
  </si>
  <si>
    <t>Waem</t>
  </si>
  <si>
    <t>De Ruijter_ADO</t>
  </si>
  <si>
    <t>De Ruijter</t>
  </si>
  <si>
    <t>Wilhelm_ADO</t>
  </si>
  <si>
    <t>Wilhelm</t>
  </si>
  <si>
    <t>Hawkins_ADO</t>
  </si>
  <si>
    <t>Hawkins</t>
  </si>
  <si>
    <t>Jiménez_ADO</t>
  </si>
  <si>
    <t>Jiménez</t>
  </si>
  <si>
    <t>Kilo_ADO</t>
  </si>
  <si>
    <t>Kilo</t>
  </si>
  <si>
    <t>De Bruin_ADO</t>
  </si>
  <si>
    <t>De Bruin</t>
  </si>
  <si>
    <t>Peupion_ADO</t>
  </si>
  <si>
    <t>Peupion</t>
  </si>
  <si>
    <t>Rottier_ADO</t>
  </si>
  <si>
    <t>Rottier</t>
  </si>
  <si>
    <t>Thomas_ADO</t>
  </si>
  <si>
    <t>Van Mieghem_ADO</t>
  </si>
  <si>
    <t>Van Mieghem</t>
  </si>
  <si>
    <t>Zamburek_ADO</t>
  </si>
  <si>
    <t>Zamburek</t>
  </si>
  <si>
    <t>Bal_ADO</t>
  </si>
  <si>
    <t>Bal</t>
  </si>
  <si>
    <t>Reischl_ADO</t>
  </si>
  <si>
    <t>Reischl</t>
  </si>
  <si>
    <t>Bárány_ADO</t>
  </si>
  <si>
    <t>Bárány</t>
  </si>
  <si>
    <t>Eduardo_ADO</t>
  </si>
  <si>
    <t>Eduardo</t>
  </si>
  <si>
    <t>Jansen_CAM</t>
  </si>
  <si>
    <t>Jansen</t>
  </si>
  <si>
    <t>Amofa_CAM</t>
  </si>
  <si>
    <t>Amofa</t>
  </si>
  <si>
    <t>Baouf_CAM</t>
  </si>
  <si>
    <t>Baouf</t>
  </si>
  <si>
    <t>Berkhout_CAM</t>
  </si>
  <si>
    <t>Berkhout</t>
  </si>
  <si>
    <t>Mulders_CAM</t>
  </si>
  <si>
    <t>Mulders</t>
  </si>
  <si>
    <t>Jetten_CAM</t>
  </si>
  <si>
    <t>Jetten</t>
  </si>
  <si>
    <t>Van de Pavert_CAM</t>
  </si>
  <si>
    <t>Van de Pavert</t>
  </si>
  <si>
    <t>Kvam_CAM</t>
  </si>
  <si>
    <t>Kvam</t>
  </si>
  <si>
    <t>Apkakou_CAM</t>
  </si>
  <si>
    <t>Apkakou</t>
  </si>
  <si>
    <t>Visser_CAM</t>
  </si>
  <si>
    <t>Visser</t>
  </si>
  <si>
    <t>Souren_CAM</t>
  </si>
  <si>
    <t>Souren</t>
  </si>
  <si>
    <t>Henstra_CAM</t>
  </si>
  <si>
    <t>Henstra</t>
  </si>
  <si>
    <t>Kooistra_CAM</t>
  </si>
  <si>
    <t>Kooistra</t>
  </si>
  <si>
    <t>Hamache_CAM</t>
  </si>
  <si>
    <t>Hamache</t>
  </si>
  <si>
    <t>Vink_CAM</t>
  </si>
  <si>
    <t>Vink</t>
  </si>
  <si>
    <t>Binder_CAM</t>
  </si>
  <si>
    <t>Binder</t>
  </si>
  <si>
    <t>Didillon-Hödl_WIL</t>
  </si>
  <si>
    <t>Didillon-Hödl</t>
  </si>
  <si>
    <t>De Leeuw_WIL</t>
  </si>
  <si>
    <t>De Leeuw</t>
  </si>
  <si>
    <t>Van der Steen_WIL</t>
  </si>
  <si>
    <t>Van der Steen</t>
  </si>
  <si>
    <t>Stam_WIL</t>
  </si>
  <si>
    <t>Stam</t>
  </si>
  <si>
    <t>Ciranni_WIL</t>
  </si>
  <si>
    <t>Ciranni</t>
  </si>
  <si>
    <t>Et-Taïbi_WIL</t>
  </si>
  <si>
    <t>Et-Taïbi</t>
  </si>
  <si>
    <t>Hoogma_WIL</t>
  </si>
  <si>
    <t>Hoogma</t>
  </si>
  <si>
    <t>Mathijsen_WIL</t>
  </si>
  <si>
    <t>Mathijsen</t>
  </si>
  <si>
    <t>Scheepens_WIL</t>
  </si>
  <si>
    <t>Scheepens</t>
  </si>
  <si>
    <t>Tjoe-A-On_WIL</t>
  </si>
  <si>
    <t>Tjoe-A-On</t>
  </si>
  <si>
    <t>Van Loon_WIL</t>
  </si>
  <si>
    <t>Van Loon</t>
  </si>
  <si>
    <t>Schuurman_WIL</t>
  </si>
  <si>
    <t>Schuurman</t>
  </si>
  <si>
    <t>Zarrouk_WIL</t>
  </si>
  <si>
    <t>Zarrouk</t>
  </si>
  <si>
    <t>Van Aalst_WIL</t>
  </si>
  <si>
    <t>Van Aalst</t>
  </si>
  <si>
    <t>Culum_WIL</t>
  </si>
  <si>
    <t>Culum</t>
  </si>
  <si>
    <t>Slory_WIL</t>
  </si>
  <si>
    <t>Slory</t>
  </si>
  <si>
    <t>Haen_WIL</t>
  </si>
  <si>
    <t>Haen</t>
  </si>
  <si>
    <t>Verheydt_WIL</t>
  </si>
  <si>
    <t>Verheydt</t>
  </si>
  <si>
    <t>Baartmans_WIL</t>
  </si>
  <si>
    <t>Baartmans</t>
  </si>
  <si>
    <t>Descotte_FOR</t>
  </si>
  <si>
    <t>Descotte</t>
  </si>
  <si>
    <t>Brandis_GRO</t>
  </si>
  <si>
    <t>Brandis</t>
  </si>
  <si>
    <t>Bischoff_NEC</t>
  </si>
  <si>
    <t>Bischoff</t>
  </si>
  <si>
    <t>Tadić_NEC</t>
  </si>
  <si>
    <t>Tadić</t>
  </si>
  <si>
    <t>Cissoko_PEC</t>
  </si>
  <si>
    <t>Cissoko</t>
  </si>
  <si>
    <t>De Grand_AZ</t>
  </si>
  <si>
    <t>De Grand</t>
  </si>
  <si>
    <t>Arokodare_AJA</t>
  </si>
  <si>
    <t>Arokodare</t>
  </si>
  <si>
    <t>Machine_HEE</t>
  </si>
  <si>
    <t>Machine</t>
  </si>
  <si>
    <t>Sulzbacher_EXC</t>
  </si>
  <si>
    <t>Sulzbacher</t>
  </si>
  <si>
    <t>Ter Avest_WIL</t>
  </si>
  <si>
    <t>Ter Avest</t>
  </si>
  <si>
    <t>Brandt_AJA</t>
  </si>
  <si>
    <t>Brandt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</si>
</sst>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b/>
      <sz val="10.0"/>
      <color theme="1"/>
      <name val="DM Sans"/>
    </font>
    <font>
      <sz val="10.0"/>
      <color rgb="FF000000"/>
      <name val="DM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2" xfId="0" applyAlignment="1" applyFont="1" applyNumberForma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9" xfId="0" applyAlignment="1" applyFont="1" applyNumberFormat="1">
      <alignment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W424" displayName="Table1" name="Table1" id="1">
  <autoFilter ref="$A$1:$AW$424"/>
  <tableColumns count="49">
    <tableColumn name="player_id" id="1"/>
    <tableColumn name="name" id="2"/>
    <tableColumn name="team" id="3"/>
    <tableColumn name="position" id="4"/>
    <tableColumn name="€" id="5"/>
    <tableColumn name="Start%" id="6"/>
    <tableColumn name="Mins/Start" id="7"/>
    <tableColumn name="Minutes played" id="8"/>
    <tableColumn name="predicted_to_start" id="9"/>
    <tableColumn name="on_pens" id="10"/>
    <tableColumn name="xMins" id="11"/>
    <tableColumn name="xBonus_per_PT" id="12"/>
    <tableColumn name="xPTS/M" id="13"/>
    <tableColumn name="Total xPTS" id="14"/>
    <tableColumn name="xPTS/€" id="15"/>
    <tableColumn name="GW1" id="16"/>
    <tableColumn name="GW2" id="17"/>
    <tableColumn name="GW3" id="18"/>
    <tableColumn name="GW4" id="19"/>
    <tableColumn name="GW5" id="20"/>
    <tableColumn name="GW6" id="21"/>
    <tableColumn name="GW7" id="22"/>
    <tableColumn name="GW8" id="23"/>
    <tableColumn name="GW9" id="24"/>
    <tableColumn name="GW10" id="25"/>
    <tableColumn name="GW11" id="26"/>
    <tableColumn name="GW12" id="27"/>
    <tableColumn name="GW13" id="28"/>
    <tableColumn name="GW14" id="29"/>
    <tableColumn name="GW15" id="30"/>
    <tableColumn name="GW16" id="31"/>
    <tableColumn name="GW17" id="32"/>
    <tableColumn name="GW18" id="33"/>
    <tableColumn name="GW19" id="34"/>
    <tableColumn name="GW20" id="35"/>
    <tableColumn name="GW21" id="36"/>
    <tableColumn name="GW22" id="37"/>
    <tableColumn name="GW23" id="38"/>
    <tableColumn name="GW24" id="39"/>
    <tableColumn name="GW25" id="40"/>
    <tableColumn name="GW26" id="41"/>
    <tableColumn name="GW27" id="42"/>
    <tableColumn name="GW28" id="43"/>
    <tableColumn name="GW29" id="44"/>
    <tableColumn name="GW30" id="45"/>
    <tableColumn name="GW31" id="46"/>
    <tableColumn name="GW32" id="47"/>
    <tableColumn name="GW33" id="48"/>
    <tableColumn name="GW34" id="4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22.57"/>
    <col customWidth="1" min="3" max="3" width="10.71"/>
    <col customWidth="1" min="4" max="4" width="13.43"/>
    <col customWidth="1" min="5" max="5" width="7.86"/>
    <col customWidth="1" min="6" max="6" width="15.86"/>
    <col customWidth="1" min="7" max="7" width="15.71"/>
    <col customWidth="1" min="8" max="8" width="19.71"/>
    <col customWidth="1" min="9" max="9" width="22.57"/>
    <col customWidth="1" min="10" max="10" width="13.71"/>
    <col customWidth="1" min="11" max="11" width="15.86"/>
    <col customWidth="1" min="12" max="12" width="23.57"/>
    <col customWidth="1" min="13" max="24" width="14.29"/>
    <col customWidth="1" min="25" max="49" width="15.2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 ht="15.0" customHeight="1">
      <c r="A2" s="5" t="s">
        <v>49</v>
      </c>
      <c r="B2" s="5" t="s">
        <v>50</v>
      </c>
      <c r="C2" s="5" t="s">
        <v>51</v>
      </c>
      <c r="D2" s="5" t="s">
        <v>52</v>
      </c>
      <c r="E2" s="5">
        <v>11.0</v>
      </c>
      <c r="F2" s="6">
        <v>0.8709677419</v>
      </c>
      <c r="G2" s="5">
        <v>85.0</v>
      </c>
      <c r="H2" s="5">
        <v>2531.0</v>
      </c>
      <c r="I2" s="5" t="b">
        <v>1</v>
      </c>
      <c r="J2" s="5" t="b">
        <v>0</v>
      </c>
      <c r="K2" s="7">
        <v>76.993548384895</v>
      </c>
      <c r="L2" s="8">
        <v>0.1074957740335742</v>
      </c>
      <c r="M2" s="9">
        <f t="shared" ref="M2:M424" si="1">AVERAGE(P2:AW2)</f>
        <v>3.451106664</v>
      </c>
      <c r="N2" s="7">
        <f t="shared" ref="N2:N424" si="2">SUM(P2:AW2)</f>
        <v>117.3376266</v>
      </c>
      <c r="O2" s="9">
        <f t="shared" ref="O2:O424" si="3">N2/E2</f>
        <v>10.66705696</v>
      </c>
      <c r="P2" s="9">
        <v>0.0</v>
      </c>
      <c r="Q2" s="9">
        <v>3.481019483200287</v>
      </c>
      <c r="R2" s="9">
        <v>3.574356300632465</v>
      </c>
      <c r="S2" s="9">
        <v>3.190256912095246</v>
      </c>
      <c r="T2" s="9">
        <v>3.163713583563112</v>
      </c>
      <c r="U2" s="9">
        <v>3.852330116513329</v>
      </c>
      <c r="V2" s="9">
        <v>2.962503075593245</v>
      </c>
      <c r="W2" s="9">
        <v>3.662279356850304</v>
      </c>
      <c r="X2" s="9">
        <v>3.534700833522637</v>
      </c>
      <c r="Y2" s="9">
        <v>3.314982179899661</v>
      </c>
      <c r="Z2" s="9">
        <v>4.128603102464667</v>
      </c>
      <c r="AA2" s="9">
        <v>3.595300266274888</v>
      </c>
      <c r="AB2" s="9">
        <v>3.197426126045039</v>
      </c>
      <c r="AC2" s="9">
        <v>4.184079591633249</v>
      </c>
      <c r="AD2" s="9">
        <v>3.090552647661639</v>
      </c>
      <c r="AE2" s="9">
        <v>4.005214569361319</v>
      </c>
      <c r="AF2" s="9">
        <v>4.112215752272011</v>
      </c>
      <c r="AG2" s="9">
        <v>2.970408714698243</v>
      </c>
      <c r="AH2" s="9">
        <v>3.54685827478041</v>
      </c>
      <c r="AI2" s="9">
        <v>4.00606725037296</v>
      </c>
      <c r="AJ2" s="9">
        <v>3.627528538495378</v>
      </c>
      <c r="AK2" s="9">
        <v>3.30044033049449</v>
      </c>
      <c r="AL2" s="9">
        <v>4.085929519704202</v>
      </c>
      <c r="AM2" s="9">
        <v>3.398432682797518</v>
      </c>
      <c r="AN2" s="9">
        <v>3.591880602634718</v>
      </c>
      <c r="AO2" s="9">
        <v>3.502203379002136</v>
      </c>
      <c r="AP2" s="9">
        <v>3.169328133198722</v>
      </c>
      <c r="AQ2" s="9">
        <v>3.468180350198452</v>
      </c>
      <c r="AR2" s="9">
        <v>3.598576779410852</v>
      </c>
      <c r="AS2" s="9">
        <v>3.56218506047399</v>
      </c>
      <c r="AT2" s="9">
        <v>3.650908061305204</v>
      </c>
      <c r="AU2" s="9">
        <v>3.959457748139044</v>
      </c>
      <c r="AV2" s="9">
        <v>3.612670939468483</v>
      </c>
      <c r="AW2" s="9">
        <v>3.237036317514395</v>
      </c>
    </row>
    <row r="3" ht="15.0" customHeight="1">
      <c r="A3" s="5" t="s">
        <v>53</v>
      </c>
      <c r="B3" s="5" t="s">
        <v>54</v>
      </c>
      <c r="C3" s="5" t="s">
        <v>55</v>
      </c>
      <c r="D3" s="5" t="s">
        <v>56</v>
      </c>
      <c r="E3" s="5">
        <v>12.0</v>
      </c>
      <c r="F3" s="6">
        <v>1.0</v>
      </c>
      <c r="G3" s="5">
        <v>81.0</v>
      </c>
      <c r="H3" s="5">
        <v>2690.0</v>
      </c>
      <c r="I3" s="5" t="b">
        <v>1</v>
      </c>
      <c r="J3" s="5" t="b">
        <v>1</v>
      </c>
      <c r="K3" s="7">
        <v>81.0</v>
      </c>
      <c r="L3" s="8">
        <v>0.1487151168871215</v>
      </c>
      <c r="M3" s="9">
        <f t="shared" si="1"/>
        <v>5.35391531</v>
      </c>
      <c r="N3" s="7">
        <f t="shared" si="2"/>
        <v>182.0331205</v>
      </c>
      <c r="O3" s="9">
        <f t="shared" si="3"/>
        <v>15.16942671</v>
      </c>
      <c r="P3" s="9">
        <v>4.955279864497168</v>
      </c>
      <c r="Q3" s="9">
        <v>6.712333286651408</v>
      </c>
      <c r="R3" s="9">
        <v>5.255798233308299</v>
      </c>
      <c r="S3" s="9">
        <v>6.053148811057119</v>
      </c>
      <c r="T3" s="9">
        <v>4.713142247930845</v>
      </c>
      <c r="U3" s="9">
        <v>5.435779061360599</v>
      </c>
      <c r="V3" s="9">
        <v>5.331974570138785</v>
      </c>
      <c r="W3" s="9">
        <v>5.117387976592051</v>
      </c>
      <c r="X3" s="9">
        <v>5.373494057113503</v>
      </c>
      <c r="Y3" s="9">
        <v>4.248381995996448</v>
      </c>
      <c r="Z3" s="9">
        <v>6.294447531228021</v>
      </c>
      <c r="AA3" s="9">
        <v>4.777420438830973</v>
      </c>
      <c r="AB3" s="9">
        <v>6.123593744576018</v>
      </c>
      <c r="AC3" s="9">
        <v>5.322060902920229</v>
      </c>
      <c r="AD3" s="9">
        <v>5.340500999915955</v>
      </c>
      <c r="AE3" s="9">
        <v>4.625092803959426</v>
      </c>
      <c r="AF3" s="9">
        <v>4.710079705720723</v>
      </c>
      <c r="AG3" s="9">
        <v>4.92054239892382</v>
      </c>
      <c r="AH3" s="9">
        <v>5.152250695269291</v>
      </c>
      <c r="AI3" s="9">
        <v>6.50097066074883</v>
      </c>
      <c r="AJ3" s="9">
        <v>4.396274732983613</v>
      </c>
      <c r="AK3" s="9">
        <v>5.539139377605732</v>
      </c>
      <c r="AL3" s="9">
        <v>6.418069174909455</v>
      </c>
      <c r="AM3" s="9">
        <v>4.550048262571685</v>
      </c>
      <c r="AN3" s="9">
        <v>5.624693799526415</v>
      </c>
      <c r="AO3" s="9">
        <v>5.594578652450276</v>
      </c>
      <c r="AP3" s="9">
        <v>6.26141575907549</v>
      </c>
      <c r="AQ3" s="9">
        <v>5.280615449163703</v>
      </c>
      <c r="AR3" s="9">
        <v>5.099324466758595</v>
      </c>
      <c r="AS3" s="9">
        <v>5.861425109678857</v>
      </c>
      <c r="AT3" s="9">
        <v>6.374155338872627</v>
      </c>
      <c r="AU3" s="9">
        <v>4.557496534439916</v>
      </c>
      <c r="AV3" s="9">
        <v>4.090258536479586</v>
      </c>
      <c r="AW3" s="9">
        <v>5.421945362436315</v>
      </c>
    </row>
    <row r="4" ht="15.0" customHeight="1">
      <c r="A4" s="5" t="s">
        <v>57</v>
      </c>
      <c r="B4" s="5" t="s">
        <v>58</v>
      </c>
      <c r="C4" s="5" t="s">
        <v>59</v>
      </c>
      <c r="D4" s="5" t="s">
        <v>52</v>
      </c>
      <c r="E4" s="5">
        <v>12.5</v>
      </c>
      <c r="F4" s="6">
        <v>0.9375</v>
      </c>
      <c r="G4" s="10">
        <v>87.0</v>
      </c>
      <c r="H4" s="5">
        <v>3091.0</v>
      </c>
      <c r="I4" s="5" t="b">
        <v>1</v>
      </c>
      <c r="J4" s="5" t="b">
        <v>0</v>
      </c>
      <c r="K4" s="7">
        <v>82.996875</v>
      </c>
      <c r="L4" s="8">
        <v>0.09517767082208622</v>
      </c>
      <c r="M4" s="9">
        <f t="shared" si="1"/>
        <v>4.629024275</v>
      </c>
      <c r="N4" s="7">
        <f t="shared" si="2"/>
        <v>157.3868253</v>
      </c>
      <c r="O4" s="9">
        <f t="shared" si="3"/>
        <v>12.59094603</v>
      </c>
      <c r="P4" s="9">
        <v>4.706831259700287</v>
      </c>
      <c r="Q4" s="9">
        <v>4.837251791772544</v>
      </c>
      <c r="R4" s="9">
        <v>0.0</v>
      </c>
      <c r="S4" s="9">
        <v>4.593299311667401</v>
      </c>
      <c r="T4" s="9">
        <v>4.237512436726816</v>
      </c>
      <c r="U4" s="9">
        <v>10.16415479587317</v>
      </c>
      <c r="V4" s="9">
        <v>5.30646724530896</v>
      </c>
      <c r="W4" s="9">
        <v>4.758553240180857</v>
      </c>
      <c r="X4" s="9">
        <v>4.002643544989426</v>
      </c>
      <c r="Y4" s="9">
        <v>4.338948164294371</v>
      </c>
      <c r="Z4" s="9">
        <v>4.465146477631804</v>
      </c>
      <c r="AA4" s="9">
        <v>3.60871805605904</v>
      </c>
      <c r="AB4" s="9">
        <v>5.328487306274244</v>
      </c>
      <c r="AC4" s="9">
        <v>3.649609557540579</v>
      </c>
      <c r="AD4" s="9">
        <v>4.662324723770486</v>
      </c>
      <c r="AE4" s="9">
        <v>5.48155785317096</v>
      </c>
      <c r="AF4" s="9">
        <v>4.815305523452629</v>
      </c>
      <c r="AG4" s="9">
        <v>4.700022018847316</v>
      </c>
      <c r="AH4" s="9">
        <v>4.678746824049851</v>
      </c>
      <c r="AI4" s="9">
        <v>5.457014604793707</v>
      </c>
      <c r="AJ4" s="9">
        <v>4.122690190804186</v>
      </c>
      <c r="AK4" s="9">
        <v>4.490244671683769</v>
      </c>
      <c r="AL4" s="9">
        <v>5.737914135042004</v>
      </c>
      <c r="AM4" s="9">
        <v>4.211487630032192</v>
      </c>
      <c r="AN4" s="9">
        <v>4.522517863800711</v>
      </c>
      <c r="AO4" s="9">
        <v>5.591736732878188</v>
      </c>
      <c r="AP4" s="9">
        <v>4.062223814579267</v>
      </c>
      <c r="AQ4" s="9">
        <v>4.155178445269746</v>
      </c>
      <c r="AR4" s="9">
        <v>3.995252800220462</v>
      </c>
      <c r="AS4" s="9">
        <v>3.668581432863678</v>
      </c>
      <c r="AT4" s="9">
        <v>5.448300729998947</v>
      </c>
      <c r="AU4" s="9">
        <v>3.84273412675844</v>
      </c>
      <c r="AV4" s="9">
        <v>5.107322288863264</v>
      </c>
      <c r="AW4" s="9">
        <v>4.638045749975173</v>
      </c>
    </row>
    <row r="5" ht="15.0" customHeight="1">
      <c r="A5" s="5" t="s">
        <v>60</v>
      </c>
      <c r="B5" s="5" t="s">
        <v>61</v>
      </c>
      <c r="C5" s="5" t="s">
        <v>55</v>
      </c>
      <c r="D5" s="5" t="s">
        <v>52</v>
      </c>
      <c r="E5" s="5">
        <v>8.0</v>
      </c>
      <c r="F5" s="6"/>
      <c r="G5" s="5"/>
      <c r="H5" s="5">
        <v>3207.0</v>
      </c>
      <c r="I5" s="5" t="b">
        <v>1</v>
      </c>
      <c r="J5" s="5" t="b">
        <v>0</v>
      </c>
      <c r="K5" s="7">
        <v>74.05</v>
      </c>
      <c r="L5" s="8">
        <v>0.0756041661048259</v>
      </c>
      <c r="M5" s="9">
        <f t="shared" si="1"/>
        <v>3.335149349</v>
      </c>
      <c r="N5" s="7">
        <f t="shared" si="2"/>
        <v>113.3950779</v>
      </c>
      <c r="O5" s="9">
        <f t="shared" si="3"/>
        <v>14.17438473</v>
      </c>
      <c r="P5" s="9">
        <v>3.18905586660223</v>
      </c>
      <c r="Q5" s="9">
        <v>3.866602332021681</v>
      </c>
      <c r="R5" s="9">
        <v>3.365924088696364</v>
      </c>
      <c r="S5" s="9">
        <v>3.725446693717723</v>
      </c>
      <c r="T5" s="9">
        <v>3.003960718728941</v>
      </c>
      <c r="U5" s="9">
        <v>3.360142526749662</v>
      </c>
      <c r="V5" s="9">
        <v>3.358843613944777</v>
      </c>
      <c r="W5" s="9">
        <v>3.248957764798466</v>
      </c>
      <c r="X5" s="9">
        <v>3.268843581812046</v>
      </c>
      <c r="Y5" s="9">
        <v>2.792036234923701</v>
      </c>
      <c r="Z5" s="9">
        <v>3.748336147267451</v>
      </c>
      <c r="AA5" s="9">
        <v>3.039640107815113</v>
      </c>
      <c r="AB5" s="9">
        <v>3.677188268981409</v>
      </c>
      <c r="AC5" s="9">
        <v>3.330380954014971</v>
      </c>
      <c r="AD5" s="9">
        <v>3.393091961991713</v>
      </c>
      <c r="AE5" s="9">
        <v>2.981077285458929</v>
      </c>
      <c r="AF5" s="9">
        <v>3.105792088594761</v>
      </c>
      <c r="AG5" s="9">
        <v>3.096808050576941</v>
      </c>
      <c r="AH5" s="9">
        <v>3.259725118764519</v>
      </c>
      <c r="AI5" s="9">
        <v>3.807090905922017</v>
      </c>
      <c r="AJ5" s="9">
        <v>2.915879826854153</v>
      </c>
      <c r="AK5" s="9">
        <v>3.368609674522949</v>
      </c>
      <c r="AL5" s="9">
        <v>3.707308558284496</v>
      </c>
      <c r="AM5" s="9">
        <v>2.979751547703481</v>
      </c>
      <c r="AN5" s="9">
        <v>3.41275112481207</v>
      </c>
      <c r="AO5" s="9">
        <v>3.403175595207574</v>
      </c>
      <c r="AP5" s="9">
        <v>3.792830193161665</v>
      </c>
      <c r="AQ5" s="9">
        <v>3.317518237968065</v>
      </c>
      <c r="AR5" s="9">
        <v>3.314703327997187</v>
      </c>
      <c r="AS5" s="9">
        <v>3.585963670582557</v>
      </c>
      <c r="AT5" s="9">
        <v>3.828769626702019</v>
      </c>
      <c r="AU5" s="9">
        <v>3.005577985807844</v>
      </c>
      <c r="AV5" s="9">
        <v>2.806133182121557</v>
      </c>
      <c r="AW5" s="9">
        <v>3.337160996911772</v>
      </c>
    </row>
    <row r="6" ht="15.0" customHeight="1">
      <c r="A6" s="5" t="s">
        <v>62</v>
      </c>
      <c r="B6" s="5" t="s">
        <v>63</v>
      </c>
      <c r="C6" s="5" t="s">
        <v>64</v>
      </c>
      <c r="D6" s="5" t="s">
        <v>56</v>
      </c>
      <c r="E6" s="5">
        <v>8.0</v>
      </c>
      <c r="F6" s="6">
        <v>0.9393939394</v>
      </c>
      <c r="G6" s="5">
        <v>71.0</v>
      </c>
      <c r="H6" s="5">
        <v>2359.0</v>
      </c>
      <c r="I6" s="5" t="b">
        <v>1</v>
      </c>
      <c r="J6" s="5" t="b">
        <v>0</v>
      </c>
      <c r="K6" s="7">
        <v>68.150303030588</v>
      </c>
      <c r="L6" s="8">
        <v>0.1320615543174095</v>
      </c>
      <c r="M6" s="9">
        <f t="shared" si="1"/>
        <v>3.532603873</v>
      </c>
      <c r="N6" s="7">
        <f t="shared" si="2"/>
        <v>120.1085317</v>
      </c>
      <c r="O6" s="9">
        <f t="shared" si="3"/>
        <v>15.01356646</v>
      </c>
      <c r="P6" s="9">
        <v>4.11225853968152</v>
      </c>
      <c r="Q6" s="9">
        <v>3.544943861660451</v>
      </c>
      <c r="R6" s="9">
        <v>3.95722404829471</v>
      </c>
      <c r="S6" s="9">
        <v>3.595105553519312</v>
      </c>
      <c r="T6" s="9">
        <v>3.272845874155783</v>
      </c>
      <c r="U6" s="9">
        <v>3.500349817514886</v>
      </c>
      <c r="V6" s="9">
        <v>4.26718177672594</v>
      </c>
      <c r="W6" s="9">
        <v>3.12878880940119</v>
      </c>
      <c r="X6" s="9">
        <v>4.04717460846576</v>
      </c>
      <c r="Y6" s="9">
        <v>3.587822431547825</v>
      </c>
      <c r="Z6" s="9">
        <v>3.248494992229265</v>
      </c>
      <c r="AA6" s="9">
        <v>3.132710151971246</v>
      </c>
      <c r="AB6" s="9">
        <v>3.323845388233961</v>
      </c>
      <c r="AC6" s="9">
        <v>3.213041656460163</v>
      </c>
      <c r="AD6" s="9">
        <v>3.342133859028054</v>
      </c>
      <c r="AE6" s="9">
        <v>3.047830608842839</v>
      </c>
      <c r="AF6" s="9">
        <v>3.920136422931488</v>
      </c>
      <c r="AG6" s="9">
        <v>4.029784145738619</v>
      </c>
      <c r="AH6" s="9">
        <v>3.562313941860778</v>
      </c>
      <c r="AI6" s="9">
        <v>4.089138922445186</v>
      </c>
      <c r="AJ6" s="9">
        <v>3.168298021739316</v>
      </c>
      <c r="AK6" s="9">
        <v>2.931651886675943</v>
      </c>
      <c r="AL6" s="9">
        <v>3.819198336190877</v>
      </c>
      <c r="AM6" s="9">
        <v>3.427480024172794</v>
      </c>
      <c r="AN6" s="9">
        <v>3.513415506674157</v>
      </c>
      <c r="AO6" s="9">
        <v>3.445834437824104</v>
      </c>
      <c r="AP6" s="9">
        <v>3.535235577829712</v>
      </c>
      <c r="AQ6" s="9">
        <v>3.678709859009738</v>
      </c>
      <c r="AR6" s="9">
        <v>3.694564786209273</v>
      </c>
      <c r="AS6" s="9">
        <v>2.88672017145454</v>
      </c>
      <c r="AT6" s="9">
        <v>4.15590425123635</v>
      </c>
      <c r="AU6" s="9">
        <v>3.417970004757865</v>
      </c>
      <c r="AV6" s="9">
        <v>2.969968509337131</v>
      </c>
      <c r="AW6" s="9">
        <v>3.540454893931116</v>
      </c>
    </row>
    <row r="7" ht="15.0" customHeight="1">
      <c r="A7" s="5" t="s">
        <v>65</v>
      </c>
      <c r="B7" s="5" t="s">
        <v>66</v>
      </c>
      <c r="C7" s="5" t="s">
        <v>67</v>
      </c>
      <c r="D7" s="5" t="s">
        <v>56</v>
      </c>
      <c r="E7" s="5">
        <v>10.0</v>
      </c>
      <c r="F7" s="6">
        <v>0.8928571429</v>
      </c>
      <c r="G7" s="5">
        <v>85.0</v>
      </c>
      <c r="H7" s="5">
        <v>2348.0</v>
      </c>
      <c r="I7" s="5" t="b">
        <v>1</v>
      </c>
      <c r="J7" s="5" t="b">
        <v>0</v>
      </c>
      <c r="K7" s="7">
        <v>78.46214285975799</v>
      </c>
      <c r="L7" s="8">
        <v>0.1413492937203518</v>
      </c>
      <c r="M7" s="9">
        <f t="shared" si="1"/>
        <v>4.452110551</v>
      </c>
      <c r="N7" s="7">
        <f t="shared" si="2"/>
        <v>151.3717587</v>
      </c>
      <c r="O7" s="9">
        <f t="shared" si="3"/>
        <v>15.13717587</v>
      </c>
      <c r="P7" s="9">
        <v>4.977178238733155</v>
      </c>
      <c r="Q7" s="9">
        <v>3.877850311122307</v>
      </c>
      <c r="R7" s="9">
        <v>4.409354077316864</v>
      </c>
      <c r="S7" s="9">
        <v>5.461689187432617</v>
      </c>
      <c r="T7" s="9">
        <v>4.039497836971782</v>
      </c>
      <c r="U7" s="9">
        <v>5.213123081321251</v>
      </c>
      <c r="V7" s="9">
        <v>5.245400440917827</v>
      </c>
      <c r="W7" s="9">
        <v>3.597152327999926</v>
      </c>
      <c r="X7" s="9">
        <v>4.391113033658575</v>
      </c>
      <c r="Y7" s="9">
        <v>3.99000133987065</v>
      </c>
      <c r="Z7" s="9">
        <v>3.872375714248958</v>
      </c>
      <c r="AA7" s="9">
        <v>4.513233784583317</v>
      </c>
      <c r="AB7" s="9">
        <v>4.17022730991178</v>
      </c>
      <c r="AC7" s="9">
        <v>4.523401770690369</v>
      </c>
      <c r="AD7" s="9">
        <v>4.144694726813271</v>
      </c>
      <c r="AE7" s="9">
        <v>4.599373227446321</v>
      </c>
      <c r="AF7" s="9">
        <v>4.31500396594192</v>
      </c>
      <c r="AG7" s="9">
        <v>4.662257072052724</v>
      </c>
      <c r="AH7" s="9">
        <v>4.640121965689775</v>
      </c>
      <c r="AI7" s="9">
        <v>4.447103838346313</v>
      </c>
      <c r="AJ7" s="9">
        <v>4.07349416850277</v>
      </c>
      <c r="AK7" s="9">
        <v>3.927534631500021</v>
      </c>
      <c r="AL7" s="9">
        <v>5.154536590087784</v>
      </c>
      <c r="AM7" s="9">
        <v>3.992252356523189</v>
      </c>
      <c r="AN7" s="9">
        <v>3.534423039938314</v>
      </c>
      <c r="AO7" s="9">
        <v>4.836258305266566</v>
      </c>
      <c r="AP7" s="9">
        <v>5.028956371917405</v>
      </c>
      <c r="AQ7" s="9">
        <v>3.650646267606239</v>
      </c>
      <c r="AR7" s="9">
        <v>4.45337089822607</v>
      </c>
      <c r="AS7" s="9">
        <v>5.130257718458688</v>
      </c>
      <c r="AT7" s="9">
        <v>4.477621313754846</v>
      </c>
      <c r="AU7" s="9">
        <v>4.439817137146587</v>
      </c>
      <c r="AV7" s="9">
        <v>5.306334335813361</v>
      </c>
      <c r="AW7" s="9">
        <v>4.276102356246572</v>
      </c>
    </row>
    <row r="8" ht="15.0" customHeight="1">
      <c r="A8" s="5" t="s">
        <v>68</v>
      </c>
      <c r="B8" s="5" t="s">
        <v>69</v>
      </c>
      <c r="C8" s="5" t="s">
        <v>51</v>
      </c>
      <c r="D8" s="5" t="s">
        <v>52</v>
      </c>
      <c r="E8" s="5">
        <v>10.0</v>
      </c>
      <c r="F8" s="6">
        <v>0.8709677419</v>
      </c>
      <c r="G8" s="5">
        <v>79.0</v>
      </c>
      <c r="H8" s="5">
        <v>2339.0</v>
      </c>
      <c r="I8" s="5" t="b">
        <v>1</v>
      </c>
      <c r="J8" s="5" t="b">
        <v>1</v>
      </c>
      <c r="K8" s="7">
        <v>71.767741933495</v>
      </c>
      <c r="L8" s="8">
        <v>0.1263818720643918</v>
      </c>
      <c r="M8" s="9">
        <f t="shared" si="1"/>
        <v>4.431077081</v>
      </c>
      <c r="N8" s="7">
        <f t="shared" si="2"/>
        <v>150.6566207</v>
      </c>
      <c r="O8" s="9">
        <f t="shared" si="3"/>
        <v>15.06566207</v>
      </c>
      <c r="P8" s="9">
        <v>5.180185498643451</v>
      </c>
      <c r="Q8" s="9">
        <v>4.284516706319694</v>
      </c>
      <c r="R8" s="9">
        <v>4.45636303642017</v>
      </c>
      <c r="S8" s="9">
        <v>3.819169845795849</v>
      </c>
      <c r="T8" s="9">
        <v>3.790049601907084</v>
      </c>
      <c r="U8" s="9">
        <v>4.864418261140343</v>
      </c>
      <c r="V8" s="9">
        <v>3.454274252400148</v>
      </c>
      <c r="W8" s="9">
        <v>4.603609990598057</v>
      </c>
      <c r="X8" s="9">
        <v>4.324018741845181</v>
      </c>
      <c r="Y8" s="9">
        <v>4.021936478811557</v>
      </c>
      <c r="Z8" s="9">
        <v>5.291634939906262</v>
      </c>
      <c r="AA8" s="9">
        <v>4.43027842904814</v>
      </c>
      <c r="AB8" s="9">
        <v>3.870852006430427</v>
      </c>
      <c r="AC8" s="9">
        <v>5.44450697654809</v>
      </c>
      <c r="AD8" s="9">
        <v>3.671784317376783</v>
      </c>
      <c r="AE8" s="9">
        <v>5.178666641554033</v>
      </c>
      <c r="AF8" s="9">
        <v>5.311136300519148</v>
      </c>
      <c r="AG8" s="9">
        <v>3.48665514857182</v>
      </c>
      <c r="AH8" s="9">
        <v>4.388088312381652</v>
      </c>
      <c r="AI8" s="9">
        <v>5.075457326435303</v>
      </c>
      <c r="AJ8" s="9">
        <v>4.487213808168052</v>
      </c>
      <c r="AK8" s="9">
        <v>3.974749462038095</v>
      </c>
      <c r="AL8" s="9">
        <v>5.216079931533658</v>
      </c>
      <c r="AM8" s="9">
        <v>4.144344800093656</v>
      </c>
      <c r="AN8" s="9">
        <v>4.448526201981152</v>
      </c>
      <c r="AO8" s="9">
        <v>4.369161214677669</v>
      </c>
      <c r="AP8" s="9">
        <v>3.817162856396967</v>
      </c>
      <c r="AQ8" s="9">
        <v>4.261515661200023</v>
      </c>
      <c r="AR8" s="9">
        <v>4.484941964709262</v>
      </c>
      <c r="AS8" s="9">
        <v>4.415496850649919</v>
      </c>
      <c r="AT8" s="9">
        <v>4.583455837602332</v>
      </c>
      <c r="AU8" s="9">
        <v>5.048144129682885</v>
      </c>
      <c r="AV8" s="9">
        <v>4.528755188120971</v>
      </c>
      <c r="AW8" s="9">
        <v>3.929470029581204</v>
      </c>
    </row>
    <row r="9" ht="15.0" customHeight="1">
      <c r="A9" s="5" t="s">
        <v>70</v>
      </c>
      <c r="B9" s="5" t="s">
        <v>71</v>
      </c>
      <c r="C9" s="5" t="s">
        <v>64</v>
      </c>
      <c r="D9" s="5" t="s">
        <v>52</v>
      </c>
      <c r="E9" s="5">
        <v>8.0</v>
      </c>
      <c r="F9" s="6">
        <v>1.0</v>
      </c>
      <c r="G9" s="5">
        <v>83.0</v>
      </c>
      <c r="H9" s="5">
        <v>2967.0</v>
      </c>
      <c r="I9" s="5" t="b">
        <v>1</v>
      </c>
      <c r="J9" s="5" t="b">
        <v>0</v>
      </c>
      <c r="K9" s="7">
        <v>83.0</v>
      </c>
      <c r="L9" s="8">
        <v>0.06989770188936387</v>
      </c>
      <c r="M9" s="9">
        <f t="shared" si="1"/>
        <v>3.950145562</v>
      </c>
      <c r="N9" s="7">
        <f t="shared" si="2"/>
        <v>134.3049491</v>
      </c>
      <c r="O9" s="9">
        <f t="shared" si="3"/>
        <v>16.78811864</v>
      </c>
      <c r="P9" s="9">
        <v>4.571045475634367</v>
      </c>
      <c r="Q9" s="9">
        <v>4.019519749652916</v>
      </c>
      <c r="R9" s="9">
        <v>4.474690816324336</v>
      </c>
      <c r="S9" s="9">
        <v>4.01076143531943</v>
      </c>
      <c r="T9" s="9">
        <v>3.635590590647243</v>
      </c>
      <c r="U9" s="9">
        <v>3.973789283159973</v>
      </c>
      <c r="V9" s="9">
        <v>4.793231758130684</v>
      </c>
      <c r="W9" s="9">
        <v>3.447969102391211</v>
      </c>
      <c r="X9" s="9">
        <v>4.583300102071266</v>
      </c>
      <c r="Y9" s="9">
        <v>3.986269936889173</v>
      </c>
      <c r="Z9" s="9">
        <v>3.559643870522706</v>
      </c>
      <c r="AA9" s="9">
        <v>3.471904550722986</v>
      </c>
      <c r="AB9" s="9">
        <v>3.646168357531387</v>
      </c>
      <c r="AC9" s="9">
        <v>3.59948006758199</v>
      </c>
      <c r="AD9" s="9">
        <v>3.735945440749487</v>
      </c>
      <c r="AE9" s="9">
        <v>3.353001938046701</v>
      </c>
      <c r="AF9" s="9">
        <v>4.508515907725474</v>
      </c>
      <c r="AG9" s="9">
        <v>4.62165828957952</v>
      </c>
      <c r="AH9" s="9">
        <v>3.913186426216705</v>
      </c>
      <c r="AI9" s="9">
        <v>4.682349537539721</v>
      </c>
      <c r="AJ9" s="9">
        <v>3.469580473340864</v>
      </c>
      <c r="AK9" s="9">
        <v>3.205127340278231</v>
      </c>
      <c r="AL9" s="9">
        <v>4.326037330495875</v>
      </c>
      <c r="AM9" s="9">
        <v>3.830624248208315</v>
      </c>
      <c r="AN9" s="9">
        <v>3.933660108965591</v>
      </c>
      <c r="AO9" s="9">
        <v>3.849053541842018</v>
      </c>
      <c r="AP9" s="9">
        <v>3.955624469397208</v>
      </c>
      <c r="AQ9" s="9">
        <v>4.089154686544485</v>
      </c>
      <c r="AR9" s="9">
        <v>4.105326337801162</v>
      </c>
      <c r="AS9" s="9">
        <v>3.178647723290346</v>
      </c>
      <c r="AT9" s="9">
        <v>4.687344505090182</v>
      </c>
      <c r="AU9" s="9">
        <v>3.888311301204415</v>
      </c>
      <c r="AV9" s="9">
        <v>3.213725068589268</v>
      </c>
      <c r="AW9" s="9">
        <v>3.984709330291984</v>
      </c>
    </row>
    <row r="10" ht="15.0" customHeight="1">
      <c r="A10" s="5" t="s">
        <v>72</v>
      </c>
      <c r="B10" s="5" t="s">
        <v>73</v>
      </c>
      <c r="C10" s="5" t="s">
        <v>64</v>
      </c>
      <c r="D10" s="5" t="s">
        <v>56</v>
      </c>
      <c r="E10" s="5">
        <v>8.0</v>
      </c>
      <c r="F10" s="6"/>
      <c r="G10" s="5"/>
      <c r="H10" s="5">
        <v>2118.0</v>
      </c>
      <c r="I10" s="5" t="b">
        <v>1</v>
      </c>
      <c r="J10" s="5" t="b">
        <v>0</v>
      </c>
      <c r="K10" s="7">
        <v>0.0</v>
      </c>
      <c r="L10" s="8">
        <v>0.1238103691117823</v>
      </c>
      <c r="M10" s="9">
        <f t="shared" si="1"/>
        <v>0</v>
      </c>
      <c r="N10" s="7">
        <f t="shared" si="2"/>
        <v>0</v>
      </c>
      <c r="O10" s="9">
        <f t="shared" si="3"/>
        <v>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0.0</v>
      </c>
      <c r="AH10" s="9">
        <v>0.0</v>
      </c>
      <c r="AI10" s="9">
        <v>0.0</v>
      </c>
      <c r="AJ10" s="9">
        <v>0.0</v>
      </c>
      <c r="AK10" s="9">
        <v>0.0</v>
      </c>
      <c r="AL10" s="9">
        <v>0.0</v>
      </c>
      <c r="AM10" s="9">
        <v>0.0</v>
      </c>
      <c r="AN10" s="9">
        <v>0.0</v>
      </c>
      <c r="AO10" s="9">
        <v>0.0</v>
      </c>
      <c r="AP10" s="9">
        <v>0.0</v>
      </c>
      <c r="AQ10" s="9">
        <v>0.0</v>
      </c>
      <c r="AR10" s="9">
        <v>0.0</v>
      </c>
      <c r="AS10" s="9">
        <v>0.0</v>
      </c>
      <c r="AT10" s="9">
        <v>0.0</v>
      </c>
      <c r="AU10" s="9">
        <v>0.0</v>
      </c>
      <c r="AV10" s="9">
        <v>0.0</v>
      </c>
      <c r="AW10" s="9">
        <v>0.0</v>
      </c>
    </row>
    <row r="11" ht="15.0" customHeight="1">
      <c r="A11" s="5" t="s">
        <v>74</v>
      </c>
      <c r="B11" s="5" t="s">
        <v>75</v>
      </c>
      <c r="C11" s="5" t="s">
        <v>76</v>
      </c>
      <c r="D11" s="5" t="s">
        <v>52</v>
      </c>
      <c r="E11" s="5">
        <v>8.5</v>
      </c>
      <c r="F11" s="6">
        <v>0.9696969697</v>
      </c>
      <c r="G11" s="5">
        <v>82.0</v>
      </c>
      <c r="H11" s="5">
        <v>2892.0</v>
      </c>
      <c r="I11" s="5" t="b">
        <v>1</v>
      </c>
      <c r="J11" s="5" t="b">
        <v>0</v>
      </c>
      <c r="K11" s="7">
        <v>80.210606060785</v>
      </c>
      <c r="L11" s="8">
        <v>0.1088751928337984</v>
      </c>
      <c r="M11" s="9">
        <f t="shared" si="1"/>
        <v>4.63300217</v>
      </c>
      <c r="N11" s="7">
        <f t="shared" si="2"/>
        <v>157.5220738</v>
      </c>
      <c r="O11" s="9">
        <f t="shared" si="3"/>
        <v>18.53200868</v>
      </c>
      <c r="P11" s="9">
        <v>4.182372527563085</v>
      </c>
      <c r="Q11" s="9">
        <v>4.002630419360663</v>
      </c>
      <c r="R11" s="9">
        <v>5.577443537953962</v>
      </c>
      <c r="S11" s="9">
        <v>4.711396613456758</v>
      </c>
      <c r="T11" s="9">
        <v>4.482852337408808</v>
      </c>
      <c r="U11" s="9">
        <v>5.444890005670428</v>
      </c>
      <c r="V11" s="9">
        <v>4.360516536575235</v>
      </c>
      <c r="W11" s="9">
        <v>3.716923570462957</v>
      </c>
      <c r="X11" s="9">
        <v>5.300454751319378</v>
      </c>
      <c r="Y11" s="9">
        <v>4.53923712438938</v>
      </c>
      <c r="Z11" s="9">
        <v>4.767361066977152</v>
      </c>
      <c r="AA11" s="9">
        <v>4.237254979147434</v>
      </c>
      <c r="AB11" s="9">
        <v>4.036770188443241</v>
      </c>
      <c r="AC11" s="9">
        <v>4.613928810068713</v>
      </c>
      <c r="AD11" s="9">
        <v>5.473370272072636</v>
      </c>
      <c r="AE11" s="9">
        <v>5.718926044755078</v>
      </c>
      <c r="AF11" s="9">
        <v>4.028097570497234</v>
      </c>
      <c r="AG11" s="9">
        <v>3.881462143876599</v>
      </c>
      <c r="AH11" s="9">
        <v>5.107083400977068</v>
      </c>
      <c r="AI11" s="9">
        <v>3.655148960637006</v>
      </c>
      <c r="AJ11" s="9">
        <v>4.642913976148786</v>
      </c>
      <c r="AK11" s="9">
        <v>4.607768105758955</v>
      </c>
      <c r="AL11" s="9">
        <v>5.553190367099887</v>
      </c>
      <c r="AM11" s="9">
        <v>4.507186464008408</v>
      </c>
      <c r="AN11" s="9">
        <v>3.695985597751866</v>
      </c>
      <c r="AO11" s="9">
        <v>5.438602482528292</v>
      </c>
      <c r="AP11" s="9">
        <v>4.717191046872566</v>
      </c>
      <c r="AQ11" s="9">
        <v>4.689963130231549</v>
      </c>
      <c r="AR11" s="9">
        <v>4.094739653110021</v>
      </c>
      <c r="AS11" s="9">
        <v>5.32485209046748</v>
      </c>
      <c r="AT11" s="9">
        <v>4.674288485244883</v>
      </c>
      <c r="AU11" s="9">
        <v>4.651294140505488</v>
      </c>
      <c r="AV11" s="9">
        <v>4.822349783628446</v>
      </c>
      <c r="AW11" s="9">
        <v>4.263627578943065</v>
      </c>
    </row>
    <row r="12" ht="15.0" customHeight="1">
      <c r="A12" s="5" t="s">
        <v>77</v>
      </c>
      <c r="B12" s="5" t="s">
        <v>78</v>
      </c>
      <c r="C12" s="5" t="s">
        <v>79</v>
      </c>
      <c r="D12" s="5" t="s">
        <v>52</v>
      </c>
      <c r="E12" s="5">
        <v>7.5</v>
      </c>
      <c r="F12" s="6">
        <v>0.9393939394</v>
      </c>
      <c r="G12" s="5">
        <v>80.0</v>
      </c>
      <c r="H12" s="5">
        <v>2675.0</v>
      </c>
      <c r="I12" s="5" t="b">
        <v>1</v>
      </c>
      <c r="J12" s="5" t="b">
        <v>0</v>
      </c>
      <c r="K12" s="7">
        <v>76.54242424277</v>
      </c>
      <c r="L12" s="8">
        <v>0.09062588025366022</v>
      </c>
      <c r="M12" s="9">
        <f t="shared" si="1"/>
        <v>4.484177647</v>
      </c>
      <c r="N12" s="7">
        <f t="shared" si="2"/>
        <v>152.46204</v>
      </c>
      <c r="O12" s="9">
        <f t="shared" si="3"/>
        <v>20.328272</v>
      </c>
      <c r="P12" s="9">
        <v>3.999214016025961</v>
      </c>
      <c r="Q12" s="9">
        <v>5.32353818234783</v>
      </c>
      <c r="R12" s="9">
        <v>0.0</v>
      </c>
      <c r="S12" s="9">
        <v>4.482934761171031</v>
      </c>
      <c r="T12" s="9">
        <v>9.087832592924112</v>
      </c>
      <c r="U12" s="9">
        <v>5.098655097003552</v>
      </c>
      <c r="V12" s="9">
        <v>4.102686706859497</v>
      </c>
      <c r="W12" s="9">
        <v>4.441619980292807</v>
      </c>
      <c r="X12" s="9">
        <v>4.499833358443471</v>
      </c>
      <c r="Y12" s="9">
        <v>3.753173258231525</v>
      </c>
      <c r="Z12" s="9">
        <v>4.342350225189464</v>
      </c>
      <c r="AA12" s="9">
        <v>4.467759415591066</v>
      </c>
      <c r="AB12" s="9">
        <v>5.304834044161101</v>
      </c>
      <c r="AC12" s="9">
        <v>3.942330227557281</v>
      </c>
      <c r="AD12" s="9">
        <v>4.627621749536819</v>
      </c>
      <c r="AE12" s="9">
        <v>4.897335295805735</v>
      </c>
      <c r="AF12" s="9">
        <v>3.574009530724417</v>
      </c>
      <c r="AG12" s="9">
        <v>5.198652200492633</v>
      </c>
      <c r="AH12" s="9">
        <v>3.895888856864156</v>
      </c>
      <c r="AI12" s="9">
        <v>4.646848928121431</v>
      </c>
      <c r="AJ12" s="9">
        <v>5.232771464982317</v>
      </c>
      <c r="AK12" s="9">
        <v>3.578261921164166</v>
      </c>
      <c r="AL12" s="9">
        <v>5.072636148209944</v>
      </c>
      <c r="AM12" s="9">
        <v>4.381552989710033</v>
      </c>
      <c r="AN12" s="9">
        <v>4.320416247854248</v>
      </c>
      <c r="AO12" s="9">
        <v>4.537249007857623</v>
      </c>
      <c r="AP12" s="9">
        <v>5.450722178965981</v>
      </c>
      <c r="AQ12" s="9">
        <v>3.866892915465376</v>
      </c>
      <c r="AR12" s="9">
        <v>4.420826798980766</v>
      </c>
      <c r="AS12" s="9">
        <v>4.574922687025772</v>
      </c>
      <c r="AT12" s="9">
        <v>4.208378648876471</v>
      </c>
      <c r="AU12" s="9">
        <v>4.506043382525177</v>
      </c>
      <c r="AV12" s="9">
        <v>4.090403352105202</v>
      </c>
      <c r="AW12" s="9">
        <v>4.533843812783529</v>
      </c>
    </row>
    <row r="13" ht="15.0" customHeight="1">
      <c r="A13" s="5" t="s">
        <v>80</v>
      </c>
      <c r="B13" s="5" t="s">
        <v>81</v>
      </c>
      <c r="C13" s="5" t="s">
        <v>82</v>
      </c>
      <c r="D13" s="5" t="s">
        <v>83</v>
      </c>
      <c r="E13" s="5">
        <v>5.5</v>
      </c>
      <c r="F13" s="6">
        <v>1.0</v>
      </c>
      <c r="G13" s="5">
        <v>88.0</v>
      </c>
      <c r="H13" s="5">
        <v>3222.0</v>
      </c>
      <c r="I13" s="5" t="b">
        <v>1</v>
      </c>
      <c r="J13" s="5" t="b">
        <v>0</v>
      </c>
      <c r="K13" s="7">
        <v>88.0</v>
      </c>
      <c r="L13" s="8">
        <v>0.09228075450149102</v>
      </c>
      <c r="M13" s="9">
        <f t="shared" si="1"/>
        <v>3.96957823</v>
      </c>
      <c r="N13" s="7">
        <f t="shared" si="2"/>
        <v>134.9656598</v>
      </c>
      <c r="O13" s="9">
        <f t="shared" si="3"/>
        <v>24.53921088</v>
      </c>
      <c r="P13" s="9">
        <v>3.382856442263711</v>
      </c>
      <c r="Q13" s="9">
        <v>4.494596405560637</v>
      </c>
      <c r="R13" s="9">
        <v>0.0</v>
      </c>
      <c r="S13" s="9">
        <v>3.993340049616656</v>
      </c>
      <c r="T13" s="9">
        <v>8.11298661723973</v>
      </c>
      <c r="U13" s="9">
        <v>3.444793052022795</v>
      </c>
      <c r="V13" s="9">
        <v>3.294956028747059</v>
      </c>
      <c r="W13" s="9">
        <v>4.878977873562491</v>
      </c>
      <c r="X13" s="9">
        <v>3.625233616309363</v>
      </c>
      <c r="Y13" s="9">
        <v>4.051755698557844</v>
      </c>
      <c r="Z13" s="9">
        <v>4.081940648980088</v>
      </c>
      <c r="AA13" s="9">
        <v>3.978651235282203</v>
      </c>
      <c r="AB13" s="9">
        <v>4.806385922640628</v>
      </c>
      <c r="AC13" s="9">
        <v>3.875155640125081</v>
      </c>
      <c r="AD13" s="9">
        <v>3.951075417604384</v>
      </c>
      <c r="AE13" s="9">
        <v>3.06868638531004</v>
      </c>
      <c r="AF13" s="9">
        <v>5.007196901317452</v>
      </c>
      <c r="AG13" s="9">
        <v>4.097996349280265</v>
      </c>
      <c r="AH13" s="9">
        <v>3.97731659068626</v>
      </c>
      <c r="AI13" s="9">
        <v>3.391103488458553</v>
      </c>
      <c r="AJ13" s="9">
        <v>3.77519767461478</v>
      </c>
      <c r="AK13" s="9">
        <v>4.06317122768739</v>
      </c>
      <c r="AL13" s="9">
        <v>3.125097950104456</v>
      </c>
      <c r="AM13" s="9">
        <v>4.857484008619909</v>
      </c>
      <c r="AN13" s="9">
        <v>3.362245103217089</v>
      </c>
      <c r="AO13" s="9">
        <v>3.528661907667753</v>
      </c>
      <c r="AP13" s="9">
        <v>4.754329065227405</v>
      </c>
      <c r="AQ13" s="9">
        <v>4.162831467355121</v>
      </c>
      <c r="AR13" s="9">
        <v>3.665893075582522</v>
      </c>
      <c r="AS13" s="9">
        <v>4.015606247857257</v>
      </c>
      <c r="AT13" s="9">
        <v>3.862954404554983</v>
      </c>
      <c r="AU13" s="9">
        <v>4.195925895607964</v>
      </c>
      <c r="AV13" s="9">
        <v>3.45691799185228</v>
      </c>
      <c r="AW13" s="9">
        <v>4.624339441676592</v>
      </c>
    </row>
    <row r="14" ht="15.0" customHeight="1">
      <c r="A14" s="5" t="s">
        <v>84</v>
      </c>
      <c r="B14" s="5" t="s">
        <v>85</v>
      </c>
      <c r="C14" s="5" t="s">
        <v>59</v>
      </c>
      <c r="D14" s="5" t="s">
        <v>83</v>
      </c>
      <c r="E14" s="5">
        <v>5.5</v>
      </c>
      <c r="F14" s="6"/>
      <c r="G14" s="5"/>
      <c r="H14" s="5">
        <v>3060.0</v>
      </c>
      <c r="I14" s="5" t="b">
        <v>0</v>
      </c>
      <c r="J14" s="5" t="b">
        <v>0</v>
      </c>
      <c r="K14" s="7">
        <v>16.24</v>
      </c>
      <c r="L14" s="8">
        <v>0.06566127309987686</v>
      </c>
      <c r="M14" s="9">
        <f t="shared" si="1"/>
        <v>1.068145935</v>
      </c>
      <c r="N14" s="7">
        <f t="shared" si="2"/>
        <v>36.31696179</v>
      </c>
      <c r="O14" s="9">
        <f t="shared" si="3"/>
        <v>6.603083963</v>
      </c>
      <c r="P14" s="9">
        <v>0.0</v>
      </c>
      <c r="Q14" s="9">
        <v>1.107770607730694</v>
      </c>
      <c r="R14" s="9">
        <v>0.0</v>
      </c>
      <c r="S14" s="9">
        <v>1.101688503668679</v>
      </c>
      <c r="T14" s="9">
        <v>1.090721537326638</v>
      </c>
      <c r="U14" s="9">
        <v>2.225356443441743</v>
      </c>
      <c r="V14" s="9">
        <v>1.11985008421892</v>
      </c>
      <c r="W14" s="9">
        <v>1.105699145028985</v>
      </c>
      <c r="X14" s="9">
        <v>1.083568045987862</v>
      </c>
      <c r="Y14" s="9">
        <v>1.091562608573122</v>
      </c>
      <c r="Z14" s="9">
        <v>1.095487606256588</v>
      </c>
      <c r="AA14" s="9">
        <v>1.0706185196886</v>
      </c>
      <c r="AB14" s="9">
        <v>1.118144455812664</v>
      </c>
      <c r="AC14" s="9">
        <v>1.072684891128477</v>
      </c>
      <c r="AD14" s="9">
        <v>1.100683224610842</v>
      </c>
      <c r="AE14" s="9">
        <v>1.123187061503094</v>
      </c>
      <c r="AF14" s="9">
        <v>1.107041453088255</v>
      </c>
      <c r="AG14" s="9">
        <v>1.100889668425967</v>
      </c>
      <c r="AH14" s="9">
        <v>1.102861617454876</v>
      </c>
      <c r="AI14" s="9">
        <v>1.126979988866873</v>
      </c>
      <c r="AJ14" s="9">
        <v>1.087256236580376</v>
      </c>
      <c r="AK14" s="9">
        <v>1.096331710159096</v>
      </c>
      <c r="AL14" s="9">
        <v>1.134104777022066</v>
      </c>
      <c r="AM14" s="9">
        <v>1.088376112968376</v>
      </c>
      <c r="AN14" s="9">
        <v>1.095050248536882</v>
      </c>
      <c r="AO14" s="9">
        <v>1.128987218089831</v>
      </c>
      <c r="AP14" s="9">
        <v>1.085699918718672</v>
      </c>
      <c r="AQ14" s="9">
        <v>1.085625767765183</v>
      </c>
      <c r="AR14" s="9">
        <v>1.081931390068264</v>
      </c>
      <c r="AS14" s="9">
        <v>1.074447040077154</v>
      </c>
      <c r="AT14" s="9">
        <v>1.123986834120911</v>
      </c>
      <c r="AU14" s="9">
        <v>1.078027851935207</v>
      </c>
      <c r="AV14" s="9">
        <v>1.113502398891202</v>
      </c>
      <c r="AW14" s="9">
        <v>1.098838826192215</v>
      </c>
    </row>
    <row r="15" ht="15.0" customHeight="1">
      <c r="A15" s="5" t="s">
        <v>86</v>
      </c>
      <c r="B15" s="5" t="s">
        <v>87</v>
      </c>
      <c r="C15" s="5" t="s">
        <v>59</v>
      </c>
      <c r="D15" s="5" t="s">
        <v>83</v>
      </c>
      <c r="E15" s="5">
        <v>6.5</v>
      </c>
      <c r="F15" s="6">
        <v>1.0</v>
      </c>
      <c r="G15" s="5">
        <v>89.0</v>
      </c>
      <c r="H15" s="5">
        <v>3187.0</v>
      </c>
      <c r="I15" s="5" t="b">
        <v>1</v>
      </c>
      <c r="J15" s="5" t="b">
        <v>0</v>
      </c>
      <c r="K15" s="7">
        <v>89.0</v>
      </c>
      <c r="L15" s="8">
        <v>0.08721061883200727</v>
      </c>
      <c r="M15" s="9">
        <f t="shared" si="1"/>
        <v>3.641664233</v>
      </c>
      <c r="N15" s="7">
        <f t="shared" si="2"/>
        <v>123.8165839</v>
      </c>
      <c r="O15" s="9">
        <f t="shared" si="3"/>
        <v>19.04870522</v>
      </c>
      <c r="P15" s="9">
        <v>3.656564050060999</v>
      </c>
      <c r="Q15" s="9">
        <v>3.657848487562945</v>
      </c>
      <c r="R15" s="9">
        <v>0.0</v>
      </c>
      <c r="S15" s="9">
        <v>3.376063266602495</v>
      </c>
      <c r="T15" s="9">
        <v>3.201901625519891</v>
      </c>
      <c r="U15" s="9">
        <v>8.151500517774549</v>
      </c>
      <c r="V15" s="9">
        <v>4.156774516974728</v>
      </c>
      <c r="W15" s="9">
        <v>3.579299788769557</v>
      </c>
      <c r="X15" s="9">
        <v>3.077191237647561</v>
      </c>
      <c r="Y15" s="9">
        <v>3.509700483019943</v>
      </c>
      <c r="Z15" s="9">
        <v>3.567523793124647</v>
      </c>
      <c r="AA15" s="9">
        <v>2.975499539603404</v>
      </c>
      <c r="AB15" s="9">
        <v>4.43685137345121</v>
      </c>
      <c r="AC15" s="9">
        <v>2.904495190775207</v>
      </c>
      <c r="AD15" s="9">
        <v>3.763694762143387</v>
      </c>
      <c r="AE15" s="9">
        <v>4.475156602371433</v>
      </c>
      <c r="AF15" s="9">
        <v>3.653054326224067</v>
      </c>
      <c r="AG15" s="9">
        <v>3.890070789811332</v>
      </c>
      <c r="AH15" s="9">
        <v>3.582872895360625</v>
      </c>
      <c r="AI15" s="9">
        <v>3.949316351796256</v>
      </c>
      <c r="AJ15" s="9">
        <v>3.137332388803917</v>
      </c>
      <c r="AK15" s="9">
        <v>3.571851322122457</v>
      </c>
      <c r="AL15" s="9">
        <v>4.260051663322475</v>
      </c>
      <c r="AM15" s="9">
        <v>3.363456993622788</v>
      </c>
      <c r="AN15" s="9">
        <v>3.844736035345587</v>
      </c>
      <c r="AO15" s="9">
        <v>4.257583813521175</v>
      </c>
      <c r="AP15" s="9">
        <v>3.073000285364548</v>
      </c>
      <c r="AQ15" s="9">
        <v>3.450488721799905</v>
      </c>
      <c r="AR15" s="9">
        <v>3.232690784311658</v>
      </c>
      <c r="AS15" s="9">
        <v>2.780809716340355</v>
      </c>
      <c r="AT15" s="9">
        <v>4.252767795614481</v>
      </c>
      <c r="AU15" s="9">
        <v>3.067928232936198</v>
      </c>
      <c r="AV15" s="9">
        <v>4.082910874998739</v>
      </c>
      <c r="AW15" s="9">
        <v>3.87559570547668</v>
      </c>
    </row>
    <row r="16" ht="15.0" customHeight="1">
      <c r="A16" s="5" t="s">
        <v>88</v>
      </c>
      <c r="B16" s="5" t="s">
        <v>89</v>
      </c>
      <c r="C16" s="5" t="s">
        <v>55</v>
      </c>
      <c r="D16" s="5" t="s">
        <v>52</v>
      </c>
      <c r="E16" s="5">
        <v>11.0</v>
      </c>
      <c r="F16" s="6">
        <v>1.0</v>
      </c>
      <c r="G16" s="10">
        <v>85.0</v>
      </c>
      <c r="H16" s="5">
        <v>2744.0</v>
      </c>
      <c r="I16" s="5" t="b">
        <v>1</v>
      </c>
      <c r="J16" s="5" t="b">
        <v>0</v>
      </c>
      <c r="K16" s="7">
        <v>85.0</v>
      </c>
      <c r="L16" s="8">
        <v>0.1105701694796564</v>
      </c>
      <c r="M16" s="9">
        <f t="shared" si="1"/>
        <v>4.875131167</v>
      </c>
      <c r="N16" s="7">
        <f t="shared" si="2"/>
        <v>165.7544597</v>
      </c>
      <c r="O16" s="9">
        <f t="shared" si="3"/>
        <v>15.06858724</v>
      </c>
      <c r="P16" s="9">
        <v>4.543400147781949</v>
      </c>
      <c r="Q16" s="9">
        <v>6.040268334804367</v>
      </c>
      <c r="R16" s="9">
        <v>4.862383879665341</v>
      </c>
      <c r="S16" s="9">
        <v>5.595406681367887</v>
      </c>
      <c r="T16" s="9">
        <v>4.242413406189761</v>
      </c>
      <c r="U16" s="9">
        <v>4.93808403854154</v>
      </c>
      <c r="V16" s="9">
        <v>4.889639669662819</v>
      </c>
      <c r="W16" s="9">
        <v>4.678808941420916</v>
      </c>
      <c r="X16" s="9">
        <v>4.815554138761534</v>
      </c>
      <c r="Y16" s="9">
        <v>3.812705966641973</v>
      </c>
      <c r="Z16" s="9">
        <v>5.72853404130212</v>
      </c>
      <c r="AA16" s="9">
        <v>4.308420101737889</v>
      </c>
      <c r="AB16" s="9">
        <v>5.577545166986804</v>
      </c>
      <c r="AC16" s="9">
        <v>4.855753226575926</v>
      </c>
      <c r="AD16" s="9">
        <v>4.928870398479015</v>
      </c>
      <c r="AE16" s="9">
        <v>4.178831989535659</v>
      </c>
      <c r="AF16" s="9">
        <v>4.346165449293458</v>
      </c>
      <c r="AG16" s="9">
        <v>4.432390742034248</v>
      </c>
      <c r="AH16" s="9">
        <v>4.705745934254953</v>
      </c>
      <c r="AI16" s="9">
        <v>5.882912549335821</v>
      </c>
      <c r="AJ16" s="9">
        <v>4.007684593727856</v>
      </c>
      <c r="AK16" s="9">
        <v>4.993728116415847</v>
      </c>
      <c r="AL16" s="9">
        <v>5.742268351944571</v>
      </c>
      <c r="AM16" s="9">
        <v>4.143410289183262</v>
      </c>
      <c r="AN16" s="9">
        <v>5.07812644795462</v>
      </c>
      <c r="AO16" s="9">
        <v>5.054574323069692</v>
      </c>
      <c r="AP16" s="9">
        <v>5.759485725688143</v>
      </c>
      <c r="AQ16" s="9">
        <v>4.823665715873073</v>
      </c>
      <c r="AR16" s="9">
        <v>4.738495121808636</v>
      </c>
      <c r="AS16" s="9">
        <v>5.364391092187983</v>
      </c>
      <c r="AT16" s="9">
        <v>5.847751181495424</v>
      </c>
      <c r="AU16" s="9">
        <v>4.173456092218076</v>
      </c>
      <c r="AV16" s="9">
        <v>3.755509701650857</v>
      </c>
      <c r="AW16" s="9">
        <v>4.908078119710674</v>
      </c>
    </row>
    <row r="17" ht="15.0" customHeight="1">
      <c r="A17" s="5" t="s">
        <v>90</v>
      </c>
      <c r="B17" s="5" t="s">
        <v>91</v>
      </c>
      <c r="C17" s="5" t="s">
        <v>92</v>
      </c>
      <c r="D17" s="5" t="s">
        <v>52</v>
      </c>
      <c r="E17" s="5">
        <v>7.5</v>
      </c>
      <c r="F17" s="6">
        <v>0.8214285714</v>
      </c>
      <c r="G17" s="10">
        <v>75.0</v>
      </c>
      <c r="H17" s="5">
        <v>2051.0</v>
      </c>
      <c r="I17" s="5" t="b">
        <v>1</v>
      </c>
      <c r="J17" s="5" t="b">
        <v>1</v>
      </c>
      <c r="K17" s="7">
        <v>65.70535714137</v>
      </c>
      <c r="L17" s="8">
        <v>0.07492138099591508</v>
      </c>
      <c r="M17" s="9">
        <f t="shared" si="1"/>
        <v>3.681133628</v>
      </c>
      <c r="N17" s="7">
        <f t="shared" si="2"/>
        <v>125.1585434</v>
      </c>
      <c r="O17" s="9">
        <f t="shared" si="3"/>
        <v>16.68780578</v>
      </c>
      <c r="P17" s="9">
        <v>2.966529574554217</v>
      </c>
      <c r="Q17" s="9">
        <v>4.401091863823545</v>
      </c>
      <c r="R17" s="9">
        <v>3.581742403707591</v>
      </c>
      <c r="S17" s="9">
        <v>3.220733123609747</v>
      </c>
      <c r="T17" s="9">
        <v>3.632223568776302</v>
      </c>
      <c r="U17" s="9">
        <v>3.71187116070797</v>
      </c>
      <c r="V17" s="9">
        <v>3.771488514403777</v>
      </c>
      <c r="W17" s="9">
        <v>3.338494449618717</v>
      </c>
      <c r="X17" s="9">
        <v>3.267700585190982</v>
      </c>
      <c r="Y17" s="9">
        <v>4.251222045428641</v>
      </c>
      <c r="Z17" s="9">
        <v>2.946902276284139</v>
      </c>
      <c r="AA17" s="9">
        <v>4.361680264921548</v>
      </c>
      <c r="AB17" s="9">
        <v>3.856083059930989</v>
      </c>
      <c r="AC17" s="9">
        <v>3.873270334667555</v>
      </c>
      <c r="AD17" s="9">
        <v>4.476286737173072</v>
      </c>
      <c r="AE17" s="9">
        <v>3.212996252680425</v>
      </c>
      <c r="AF17" s="9">
        <v>4.094042779204918</v>
      </c>
      <c r="AG17" s="9">
        <v>2.912839866731091</v>
      </c>
      <c r="AH17" s="9">
        <v>3.403357090010518</v>
      </c>
      <c r="AI17" s="9">
        <v>3.601383222056305</v>
      </c>
      <c r="AJ17" s="9">
        <v>3.771519192316947</v>
      </c>
      <c r="AK17" s="9">
        <v>4.28083713610383</v>
      </c>
      <c r="AL17" s="9">
        <v>3.095133423772978</v>
      </c>
      <c r="AM17" s="9">
        <v>3.738867572904296</v>
      </c>
      <c r="AN17" s="9">
        <v>3.810942690009814</v>
      </c>
      <c r="AO17" s="9">
        <v>3.314063114776597</v>
      </c>
      <c r="AP17" s="9">
        <v>3.681068716848011</v>
      </c>
      <c r="AQ17" s="9">
        <v>3.382091072491056</v>
      </c>
      <c r="AR17" s="9">
        <v>3.722902813188742</v>
      </c>
      <c r="AS17" s="9">
        <v>3.748655684328023</v>
      </c>
      <c r="AT17" s="9">
        <v>3.192627928066943</v>
      </c>
      <c r="AU17" s="9">
        <v>4.58968343013068</v>
      </c>
      <c r="AV17" s="9">
        <v>4.46563602817149</v>
      </c>
      <c r="AW17" s="9">
        <v>3.482575389318975</v>
      </c>
    </row>
    <row r="18" ht="15.0" customHeight="1">
      <c r="A18" s="5" t="s">
        <v>93</v>
      </c>
      <c r="B18" s="5" t="s">
        <v>94</v>
      </c>
      <c r="C18" s="5" t="s">
        <v>95</v>
      </c>
      <c r="D18" s="5" t="s">
        <v>83</v>
      </c>
      <c r="E18" s="5">
        <v>5.5</v>
      </c>
      <c r="F18" s="6">
        <v>1.0</v>
      </c>
      <c r="G18" s="5">
        <v>90.0</v>
      </c>
      <c r="H18" s="5">
        <v>3210.0</v>
      </c>
      <c r="I18" s="5" t="b">
        <v>1</v>
      </c>
      <c r="J18" s="5" t="b">
        <v>0</v>
      </c>
      <c r="K18" s="7">
        <v>90.0</v>
      </c>
      <c r="L18" s="8">
        <v>0.08253724159704216</v>
      </c>
      <c r="M18" s="9">
        <f t="shared" si="1"/>
        <v>3.011126096</v>
      </c>
      <c r="N18" s="7">
        <f t="shared" si="2"/>
        <v>102.3782873</v>
      </c>
      <c r="O18" s="9">
        <f t="shared" si="3"/>
        <v>18.61423405</v>
      </c>
      <c r="P18" s="9">
        <v>2.800665364858254</v>
      </c>
      <c r="Q18" s="9">
        <v>2.777838762990905</v>
      </c>
      <c r="R18" s="9">
        <v>3.133210419388272</v>
      </c>
      <c r="S18" s="9">
        <v>2.967571700707366</v>
      </c>
      <c r="T18" s="9">
        <v>3.521971291613506</v>
      </c>
      <c r="U18" s="9">
        <v>2.344400493424131</v>
      </c>
      <c r="V18" s="9">
        <v>3.014984974642508</v>
      </c>
      <c r="W18" s="9">
        <v>3.012592257808347</v>
      </c>
      <c r="X18" s="9">
        <v>3.765696977515976</v>
      </c>
      <c r="Y18" s="9">
        <v>3.040275974264988</v>
      </c>
      <c r="Z18" s="9">
        <v>2.564696887841911</v>
      </c>
      <c r="AA18" s="9">
        <v>3.226312702663707</v>
      </c>
      <c r="AB18" s="9">
        <v>2.965922086861251</v>
      </c>
      <c r="AC18" s="9">
        <v>3.244510203883686</v>
      </c>
      <c r="AD18" s="9">
        <v>2.948916904215966</v>
      </c>
      <c r="AE18" s="9">
        <v>2.509079795822425</v>
      </c>
      <c r="AF18" s="9">
        <v>3.038106017123804</v>
      </c>
      <c r="AG18" s="9">
        <v>3.451914570815234</v>
      </c>
      <c r="AH18" s="9">
        <v>2.60687814547142</v>
      </c>
      <c r="AI18" s="9">
        <v>2.959838952517869</v>
      </c>
      <c r="AJ18" s="9">
        <v>3.231868708782492</v>
      </c>
      <c r="AK18" s="9">
        <v>3.252235894114111</v>
      </c>
      <c r="AL18" s="9">
        <v>2.556336156441403</v>
      </c>
      <c r="AM18" s="9">
        <v>2.653699790686247</v>
      </c>
      <c r="AN18" s="9">
        <v>3.756035966950694</v>
      </c>
      <c r="AO18" s="9">
        <v>2.569660822926924</v>
      </c>
      <c r="AP18" s="9">
        <v>2.701781107398199</v>
      </c>
      <c r="AQ18" s="9">
        <v>3.734033301695922</v>
      </c>
      <c r="AR18" s="9">
        <v>3.508526775858761</v>
      </c>
      <c r="AS18" s="9">
        <v>2.446107255694276</v>
      </c>
      <c r="AT18" s="9">
        <v>2.886067884366235</v>
      </c>
      <c r="AU18" s="9">
        <v>3.026450390488121</v>
      </c>
      <c r="AV18" s="9">
        <v>2.62726758509002</v>
      </c>
      <c r="AW18" s="9">
        <v>3.532831148187777</v>
      </c>
    </row>
    <row r="19" ht="15.0" customHeight="1">
      <c r="A19" s="5" t="s">
        <v>96</v>
      </c>
      <c r="B19" s="5" t="s">
        <v>97</v>
      </c>
      <c r="C19" s="5" t="s">
        <v>79</v>
      </c>
      <c r="D19" s="5" t="s">
        <v>83</v>
      </c>
      <c r="E19" s="5">
        <v>6.5</v>
      </c>
      <c r="F19" s="6">
        <v>1.0</v>
      </c>
      <c r="G19" s="10">
        <v>89.0</v>
      </c>
      <c r="H19" s="5">
        <v>3130.0</v>
      </c>
      <c r="I19" s="5" t="b">
        <v>1</v>
      </c>
      <c r="J19" s="5" t="b">
        <v>0</v>
      </c>
      <c r="K19" s="7">
        <v>89.0</v>
      </c>
      <c r="L19" s="8">
        <v>0.1125614738157612</v>
      </c>
      <c r="M19" s="9">
        <f t="shared" si="1"/>
        <v>4.380461093</v>
      </c>
      <c r="N19" s="7">
        <f t="shared" si="2"/>
        <v>148.9356772</v>
      </c>
      <c r="O19" s="9">
        <f t="shared" si="3"/>
        <v>22.9131811</v>
      </c>
      <c r="P19" s="9">
        <v>3.754555197563438</v>
      </c>
      <c r="Q19" s="9">
        <v>5.154070670572282</v>
      </c>
      <c r="R19" s="9">
        <v>0.0</v>
      </c>
      <c r="S19" s="9">
        <v>4.616938866009806</v>
      </c>
      <c r="T19" s="9">
        <v>8.496555746415805</v>
      </c>
      <c r="U19" s="9">
        <v>5.276870853579241</v>
      </c>
      <c r="V19" s="9">
        <v>3.844255176174734</v>
      </c>
      <c r="W19" s="9">
        <v>4.390698063191365</v>
      </c>
      <c r="X19" s="9">
        <v>4.508912257014983</v>
      </c>
      <c r="Y19" s="9">
        <v>3.63611381483475</v>
      </c>
      <c r="Z19" s="9">
        <v>4.283862536484263</v>
      </c>
      <c r="AA19" s="9">
        <v>4.40106851915067</v>
      </c>
      <c r="AB19" s="9">
        <v>5.372379431830163</v>
      </c>
      <c r="AC19" s="9">
        <v>3.671781210136445</v>
      </c>
      <c r="AD19" s="9">
        <v>4.420238406358417</v>
      </c>
      <c r="AE19" s="9">
        <v>4.900826941880988</v>
      </c>
      <c r="AF19" s="9">
        <v>3.417732397437264</v>
      </c>
      <c r="AG19" s="9">
        <v>5.124294761010708</v>
      </c>
      <c r="AH19" s="9">
        <v>3.843891202668355</v>
      </c>
      <c r="AI19" s="9">
        <v>4.428727440804539</v>
      </c>
      <c r="AJ19" s="9">
        <v>5.340259490868815</v>
      </c>
      <c r="AK19" s="9">
        <v>3.265995860358387</v>
      </c>
      <c r="AL19" s="9">
        <v>5.007037055445118</v>
      </c>
      <c r="AM19" s="9">
        <v>4.56679103955095</v>
      </c>
      <c r="AN19" s="9">
        <v>4.275358576297723</v>
      </c>
      <c r="AO19" s="9">
        <v>4.641775538176885</v>
      </c>
      <c r="AP19" s="9">
        <v>5.181979913801637</v>
      </c>
      <c r="AQ19" s="9">
        <v>3.742879246128147</v>
      </c>
      <c r="AR19" s="9">
        <v>4.090067590494654</v>
      </c>
      <c r="AS19" s="9">
        <v>4.33400453259932</v>
      </c>
      <c r="AT19" s="9">
        <v>4.194820440833955</v>
      </c>
      <c r="AU19" s="9">
        <v>4.325222780723176</v>
      </c>
      <c r="AV19" s="9">
        <v>4.01919034522479</v>
      </c>
      <c r="AW19" s="9">
        <v>4.406521246929061</v>
      </c>
    </row>
    <row r="20" ht="15.0" customHeight="1">
      <c r="A20" s="5" t="s">
        <v>98</v>
      </c>
      <c r="B20" s="5" t="s">
        <v>99</v>
      </c>
      <c r="C20" s="5" t="s">
        <v>100</v>
      </c>
      <c r="D20" s="5" t="s">
        <v>56</v>
      </c>
      <c r="E20" s="5">
        <v>7.0</v>
      </c>
      <c r="F20" s="6">
        <v>1.0</v>
      </c>
      <c r="G20" s="10">
        <v>85.0</v>
      </c>
      <c r="H20" s="5">
        <v>3092.0</v>
      </c>
      <c r="I20" s="5" t="b">
        <v>1</v>
      </c>
      <c r="J20" s="5" t="b">
        <v>1</v>
      </c>
      <c r="K20" s="7">
        <v>85.0</v>
      </c>
      <c r="L20" s="8">
        <v>0.1129485073105296</v>
      </c>
      <c r="M20" s="9">
        <f t="shared" si="1"/>
        <v>3.906834654</v>
      </c>
      <c r="N20" s="7">
        <f t="shared" si="2"/>
        <v>132.8323782</v>
      </c>
      <c r="O20" s="9">
        <f t="shared" si="3"/>
        <v>18.97605403</v>
      </c>
      <c r="P20" s="9">
        <v>3.938060272276041</v>
      </c>
      <c r="Q20" s="9">
        <v>3.232844684073689</v>
      </c>
      <c r="R20" s="9">
        <v>3.626249745112214</v>
      </c>
      <c r="S20" s="9">
        <v>4.062339238108654</v>
      </c>
      <c r="T20" s="9">
        <v>3.728075527320243</v>
      </c>
      <c r="U20" s="9">
        <v>3.652729642663206</v>
      </c>
      <c r="V20" s="9">
        <v>3.539041094153199</v>
      </c>
      <c r="W20" s="9">
        <v>4.475847587402288</v>
      </c>
      <c r="X20" s="9">
        <v>4.734001068921456</v>
      </c>
      <c r="Y20" s="9">
        <v>3.500341750599224</v>
      </c>
      <c r="Z20" s="9">
        <v>4.356613283059879</v>
      </c>
      <c r="AA20" s="9">
        <v>3.94861735854543</v>
      </c>
      <c r="AB20" s="9">
        <v>3.967506117710095</v>
      </c>
      <c r="AC20" s="9">
        <v>3.820883570832695</v>
      </c>
      <c r="AD20" s="9">
        <v>3.914332456154307</v>
      </c>
      <c r="AE20" s="9">
        <v>4.396943506950384</v>
      </c>
      <c r="AF20" s="9">
        <v>3.323371485734244</v>
      </c>
      <c r="AG20" s="9">
        <v>3.943735917046054</v>
      </c>
      <c r="AH20" s="9">
        <v>3.810542083383691</v>
      </c>
      <c r="AI20" s="9">
        <v>3.281704812402654</v>
      </c>
      <c r="AJ20" s="9">
        <v>4.494758511153169</v>
      </c>
      <c r="AK20" s="9">
        <v>4.094078616018747</v>
      </c>
      <c r="AL20" s="9">
        <v>3.995244833524654</v>
      </c>
      <c r="AM20" s="9">
        <v>3.900124424124311</v>
      </c>
      <c r="AN20" s="9">
        <v>4.540391796153941</v>
      </c>
      <c r="AO20" s="9">
        <v>3.496077562146799</v>
      </c>
      <c r="AP20" s="9">
        <v>4.111319751234673</v>
      </c>
      <c r="AQ20" s="9">
        <v>3.840842724450289</v>
      </c>
      <c r="AR20" s="9">
        <v>3.708188081992666</v>
      </c>
      <c r="AS20" s="9">
        <v>4.565532778631852</v>
      </c>
      <c r="AT20" s="9">
        <v>3.589450025092841</v>
      </c>
      <c r="AU20" s="9">
        <v>4.246850104709694</v>
      </c>
      <c r="AV20" s="9">
        <v>3.408041126211254</v>
      </c>
      <c r="AW20" s="9">
        <v>3.58769669796428</v>
      </c>
    </row>
    <row r="21" ht="15.0" customHeight="1">
      <c r="A21" s="5" t="s">
        <v>101</v>
      </c>
      <c r="B21" s="5" t="s">
        <v>102</v>
      </c>
      <c r="C21" s="5" t="s">
        <v>51</v>
      </c>
      <c r="D21" s="5" t="s">
        <v>103</v>
      </c>
      <c r="E21" s="5">
        <v>5.0</v>
      </c>
      <c r="F21" s="6"/>
      <c r="G21" s="5"/>
      <c r="H21" s="5">
        <v>3307.0</v>
      </c>
      <c r="I21" s="5" t="b">
        <v>0</v>
      </c>
      <c r="J21" s="5" t="b">
        <v>0</v>
      </c>
      <c r="K21" s="7">
        <v>0.0</v>
      </c>
      <c r="L21" s="8">
        <v>0.09106229994606264</v>
      </c>
      <c r="M21" s="9">
        <f t="shared" si="1"/>
        <v>0</v>
      </c>
      <c r="N21" s="7">
        <f t="shared" si="2"/>
        <v>0</v>
      </c>
      <c r="O21" s="9">
        <f t="shared" si="3"/>
        <v>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0.0</v>
      </c>
      <c r="AO21" s="9">
        <v>0.0</v>
      </c>
      <c r="AP21" s="9">
        <v>0.0</v>
      </c>
      <c r="AQ21" s="9">
        <v>0.0</v>
      </c>
      <c r="AR21" s="9">
        <v>0.0</v>
      </c>
      <c r="AS21" s="9">
        <v>0.0</v>
      </c>
      <c r="AT21" s="9">
        <v>0.0</v>
      </c>
      <c r="AU21" s="9">
        <v>0.0</v>
      </c>
      <c r="AV21" s="9">
        <v>0.0</v>
      </c>
      <c r="AW21" s="9">
        <v>0.0</v>
      </c>
    </row>
    <row r="22" ht="15.0" customHeight="1">
      <c r="A22" s="5" t="s">
        <v>104</v>
      </c>
      <c r="B22" s="5" t="s">
        <v>105</v>
      </c>
      <c r="C22" s="5" t="s">
        <v>51</v>
      </c>
      <c r="D22" s="5" t="s">
        <v>83</v>
      </c>
      <c r="E22" s="5">
        <v>7.0</v>
      </c>
      <c r="F22" s="6">
        <v>0.9230769231</v>
      </c>
      <c r="G22" s="5">
        <v>84.0</v>
      </c>
      <c r="H22" s="5">
        <v>2220.0</v>
      </c>
      <c r="I22" s="5" t="b">
        <v>1</v>
      </c>
      <c r="J22" s="5" t="b">
        <v>0</v>
      </c>
      <c r="K22" s="7">
        <v>78.78769230925599</v>
      </c>
      <c r="L22" s="8">
        <v>0.1110414778594555</v>
      </c>
      <c r="M22" s="9">
        <f t="shared" si="1"/>
        <v>4.264405092</v>
      </c>
      <c r="N22" s="7">
        <f t="shared" si="2"/>
        <v>144.9897731</v>
      </c>
      <c r="O22" s="9">
        <f t="shared" si="3"/>
        <v>20.71282473</v>
      </c>
      <c r="P22" s="9">
        <v>4.971148738274894</v>
      </c>
      <c r="Q22" s="9">
        <v>4.153930186444922</v>
      </c>
      <c r="R22" s="9">
        <v>4.190497312833983</v>
      </c>
      <c r="S22" s="9">
        <v>3.732489189269644</v>
      </c>
      <c r="T22" s="9">
        <v>3.635309966614657</v>
      </c>
      <c r="U22" s="9">
        <v>4.755205998506549</v>
      </c>
      <c r="V22" s="9">
        <v>3.404089578484635</v>
      </c>
      <c r="W22" s="9">
        <v>4.289235609821873</v>
      </c>
      <c r="X22" s="9">
        <v>4.435669029125018</v>
      </c>
      <c r="Y22" s="9">
        <v>3.89942106436927</v>
      </c>
      <c r="Z22" s="9">
        <v>5.221293688121575</v>
      </c>
      <c r="AA22" s="9">
        <v>4.482753321173285</v>
      </c>
      <c r="AB22" s="9">
        <v>3.566206065805646</v>
      </c>
      <c r="AC22" s="9">
        <v>5.020112911269493</v>
      </c>
      <c r="AD22" s="9">
        <v>3.534434919160241</v>
      </c>
      <c r="AE22" s="9">
        <v>4.671127562316757</v>
      </c>
      <c r="AF22" s="9">
        <v>4.99661225151798</v>
      </c>
      <c r="AG22" s="9">
        <v>3.328861967531634</v>
      </c>
      <c r="AH22" s="9">
        <v>4.257264607391424</v>
      </c>
      <c r="AI22" s="9">
        <v>5.131859391132014</v>
      </c>
      <c r="AJ22" s="9">
        <v>4.505931485070598</v>
      </c>
      <c r="AK22" s="9">
        <v>3.983420015014786</v>
      </c>
      <c r="AL22" s="9">
        <v>5.191335635812046</v>
      </c>
      <c r="AM22" s="9">
        <v>4.069364880547613</v>
      </c>
      <c r="AN22" s="9">
        <v>4.373568361466798</v>
      </c>
      <c r="AO22" s="9">
        <v>3.961679733062422</v>
      </c>
      <c r="AP22" s="9">
        <v>3.563795895168187</v>
      </c>
      <c r="AQ22" s="9">
        <v>4.146098427248313</v>
      </c>
      <c r="AR22" s="9">
        <v>4.270353312647074</v>
      </c>
      <c r="AS22" s="9">
        <v>4.266829495716012</v>
      </c>
      <c r="AT22" s="9">
        <v>4.281344445417449</v>
      </c>
      <c r="AU22" s="9">
        <v>4.856544447975745</v>
      </c>
      <c r="AV22" s="9">
        <v>4.197381567351624</v>
      </c>
      <c r="AW22" s="9">
        <v>3.644602070739934</v>
      </c>
    </row>
    <row r="23" ht="15.0" customHeight="1">
      <c r="A23" s="5" t="s">
        <v>106</v>
      </c>
      <c r="B23" s="5" t="s">
        <v>107</v>
      </c>
      <c r="C23" s="5" t="s">
        <v>82</v>
      </c>
      <c r="D23" s="5" t="s">
        <v>103</v>
      </c>
      <c r="E23" s="5">
        <v>4.5</v>
      </c>
      <c r="F23" s="6">
        <v>1.0</v>
      </c>
      <c r="G23" s="5">
        <v>90.0</v>
      </c>
      <c r="H23" s="5">
        <v>3209.0</v>
      </c>
      <c r="I23" s="5" t="b">
        <v>1</v>
      </c>
      <c r="J23" s="5" t="b">
        <v>1</v>
      </c>
      <c r="K23" s="7">
        <v>90.0</v>
      </c>
      <c r="L23" s="8">
        <v>0.08778278423249695</v>
      </c>
      <c r="M23" s="9">
        <f t="shared" si="1"/>
        <v>4.549470999</v>
      </c>
      <c r="N23" s="7">
        <f t="shared" si="2"/>
        <v>154.682014</v>
      </c>
      <c r="O23" s="9">
        <f t="shared" si="3"/>
        <v>34.37378088</v>
      </c>
      <c r="P23" s="9">
        <v>4.285298899867853</v>
      </c>
      <c r="Q23" s="9">
        <v>4.799740444324053</v>
      </c>
      <c r="R23" s="9">
        <v>0.0</v>
      </c>
      <c r="S23" s="9">
        <v>4.553102537664042</v>
      </c>
      <c r="T23" s="9">
        <v>9.17015225744576</v>
      </c>
      <c r="U23" s="9">
        <v>4.311000619425589</v>
      </c>
      <c r="V23" s="9">
        <v>4.213641591931395</v>
      </c>
      <c r="W23" s="9">
        <v>4.985144340021347</v>
      </c>
      <c r="X23" s="9">
        <v>4.369251326963956</v>
      </c>
      <c r="Y23" s="9">
        <v>4.606885499968676</v>
      </c>
      <c r="Z23" s="9">
        <v>4.585199172235486</v>
      </c>
      <c r="AA23" s="9">
        <v>4.542969556946708</v>
      </c>
      <c r="AB23" s="9">
        <v>4.990595249029922</v>
      </c>
      <c r="AC23" s="9">
        <v>4.492119074432313</v>
      </c>
      <c r="AD23" s="9">
        <v>4.551641908410752</v>
      </c>
      <c r="AE23" s="9">
        <v>4.143462271790521</v>
      </c>
      <c r="AF23" s="9">
        <v>5.07003538585001</v>
      </c>
      <c r="AG23" s="9">
        <v>4.564535897259086</v>
      </c>
      <c r="AH23" s="9">
        <v>4.575352906583083</v>
      </c>
      <c r="AI23" s="9">
        <v>4.262406109379968</v>
      </c>
      <c r="AJ23" s="9">
        <v>4.434054938433247</v>
      </c>
      <c r="AK23" s="9">
        <v>4.614498135148283</v>
      </c>
      <c r="AL23" s="9">
        <v>4.138014561881295</v>
      </c>
      <c r="AM23" s="9">
        <v>5.032166037490134</v>
      </c>
      <c r="AN23" s="9">
        <v>4.266301059166506</v>
      </c>
      <c r="AO23" s="9">
        <v>4.354971876047258</v>
      </c>
      <c r="AP23" s="9">
        <v>4.949221015366459</v>
      </c>
      <c r="AQ23" s="9">
        <v>4.606272483628454</v>
      </c>
      <c r="AR23" s="9">
        <v>4.366817425138309</v>
      </c>
      <c r="AS23" s="9">
        <v>4.574795401889867</v>
      </c>
      <c r="AT23" s="9">
        <v>4.483642516366085</v>
      </c>
      <c r="AU23" s="9">
        <v>4.628110744714404</v>
      </c>
      <c r="AV23" s="9">
        <v>4.282008628506493</v>
      </c>
      <c r="AW23" s="9">
        <v>4.878604087162201</v>
      </c>
    </row>
    <row r="24" ht="15.0" customHeight="1">
      <c r="A24" s="5" t="s">
        <v>108</v>
      </c>
      <c r="B24" s="5" t="s">
        <v>109</v>
      </c>
      <c r="C24" s="5" t="s">
        <v>55</v>
      </c>
      <c r="D24" s="5" t="s">
        <v>83</v>
      </c>
      <c r="E24" s="5">
        <v>6.5</v>
      </c>
      <c r="F24" s="6">
        <v>0.8275862069</v>
      </c>
      <c r="G24" s="5">
        <v>81.0</v>
      </c>
      <c r="H24" s="5">
        <v>2228.0</v>
      </c>
      <c r="I24" s="5" t="b">
        <v>1</v>
      </c>
      <c r="J24" s="5" t="b">
        <v>0</v>
      </c>
      <c r="K24" s="7">
        <v>69.834482758844</v>
      </c>
      <c r="L24" s="8">
        <v>0.1213995170859451</v>
      </c>
      <c r="M24" s="9">
        <f t="shared" si="1"/>
        <v>2.604329792</v>
      </c>
      <c r="N24" s="7">
        <f t="shared" si="2"/>
        <v>88.54721292</v>
      </c>
      <c r="O24" s="9">
        <f t="shared" si="3"/>
        <v>13.62264814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4.702954063128776</v>
      </c>
      <c r="AE24" s="9">
        <v>3.716262494550281</v>
      </c>
      <c r="AF24" s="9">
        <v>4.149458586074069</v>
      </c>
      <c r="AG24" s="9">
        <v>3.896785278431831</v>
      </c>
      <c r="AH24" s="9">
        <v>4.339267575472315</v>
      </c>
      <c r="AI24" s="9">
        <v>5.242826211166655</v>
      </c>
      <c r="AJ24" s="9">
        <v>3.678345452462277</v>
      </c>
      <c r="AK24" s="9">
        <v>4.397739188510457</v>
      </c>
      <c r="AL24" s="9">
        <v>4.911473651066404</v>
      </c>
      <c r="AM24" s="9">
        <v>3.787470022750196</v>
      </c>
      <c r="AN24" s="9">
        <v>4.494339462431662</v>
      </c>
      <c r="AO24" s="9">
        <v>4.485200606317625</v>
      </c>
      <c r="AP24" s="9">
        <v>5.428309834635424</v>
      </c>
      <c r="AQ24" s="9">
        <v>4.449024081425232</v>
      </c>
      <c r="AR24" s="9">
        <v>4.62266284578285</v>
      </c>
      <c r="AS24" s="9">
        <v>4.974620800314813</v>
      </c>
      <c r="AT24" s="9">
        <v>5.462907203235333</v>
      </c>
      <c r="AU24" s="9">
        <v>3.887557984792052</v>
      </c>
      <c r="AV24" s="9">
        <v>3.533583082215501</v>
      </c>
      <c r="AW24" s="9">
        <v>4.386424495546057</v>
      </c>
    </row>
    <row r="25" ht="15.0" customHeight="1">
      <c r="A25" s="5" t="s">
        <v>110</v>
      </c>
      <c r="B25" s="5" t="s">
        <v>111</v>
      </c>
      <c r="C25" s="5" t="s">
        <v>51</v>
      </c>
      <c r="D25" s="5" t="s">
        <v>52</v>
      </c>
      <c r="E25" s="5">
        <v>11.0</v>
      </c>
      <c r="F25" s="6"/>
      <c r="G25" s="5"/>
      <c r="H25" s="5">
        <v>2515.0</v>
      </c>
      <c r="I25" s="5" t="b">
        <v>1</v>
      </c>
      <c r="J25" s="5" t="b">
        <v>0</v>
      </c>
      <c r="K25" s="7">
        <v>74.05</v>
      </c>
      <c r="L25" s="8">
        <v>0.09917634820313931</v>
      </c>
      <c r="M25" s="9">
        <f t="shared" si="1"/>
        <v>4.370981991</v>
      </c>
      <c r="N25" s="7">
        <f t="shared" si="2"/>
        <v>148.6133877</v>
      </c>
      <c r="O25" s="9">
        <f t="shared" si="3"/>
        <v>13.51030797</v>
      </c>
      <c r="P25" s="9">
        <v>5.067256788973526</v>
      </c>
      <c r="Q25" s="9">
        <v>4.235187728076938</v>
      </c>
      <c r="R25" s="9">
        <v>4.392974322014135</v>
      </c>
      <c r="S25" s="9">
        <v>3.802932872073626</v>
      </c>
      <c r="T25" s="9">
        <v>3.774789634611712</v>
      </c>
      <c r="U25" s="9">
        <v>4.775026404690361</v>
      </c>
      <c r="V25" s="9">
        <v>3.464017879637867</v>
      </c>
      <c r="W25" s="9">
        <v>4.529215429334696</v>
      </c>
      <c r="X25" s="9">
        <v>4.275680286982867</v>
      </c>
      <c r="Y25" s="9">
        <v>3.991022217474073</v>
      </c>
      <c r="Z25" s="9">
        <v>5.173085763359451</v>
      </c>
      <c r="AA25" s="9">
        <v>4.373624318728346</v>
      </c>
      <c r="AB25" s="9">
        <v>3.847648013686938</v>
      </c>
      <c r="AC25" s="9">
        <v>5.309840135889387</v>
      </c>
      <c r="AD25" s="9">
        <v>3.665030764795906</v>
      </c>
      <c r="AE25" s="9">
        <v>5.061232507294141</v>
      </c>
      <c r="AF25" s="9">
        <v>5.18745665543878</v>
      </c>
      <c r="AG25" s="9">
        <v>3.492480962616789</v>
      </c>
      <c r="AH25" s="9">
        <v>4.331541386016658</v>
      </c>
      <c r="AI25" s="9">
        <v>4.973923922113468</v>
      </c>
      <c r="AJ25" s="9">
        <v>4.426072385294278</v>
      </c>
      <c r="AK25" s="9">
        <v>3.949148555977184</v>
      </c>
      <c r="AL25" s="9">
        <v>5.103497917121318</v>
      </c>
      <c r="AM25" s="9">
        <v>4.105638503975436</v>
      </c>
      <c r="AN25" s="9">
        <v>4.388632479932276</v>
      </c>
      <c r="AO25" s="9">
        <v>4.309658886706677</v>
      </c>
      <c r="AP25" s="9">
        <v>3.798490733676272</v>
      </c>
      <c r="AQ25" s="9">
        <v>4.214023154555735</v>
      </c>
      <c r="AR25" s="9">
        <v>4.420354704759609</v>
      </c>
      <c r="AS25" s="9">
        <v>4.356765135396707</v>
      </c>
      <c r="AT25" s="9">
        <v>4.510654551498599</v>
      </c>
      <c r="AU25" s="9">
        <v>4.944682132009308</v>
      </c>
      <c r="AV25" s="9">
        <v>4.459312039143136</v>
      </c>
      <c r="AW25" s="9">
        <v>3.902488523628839</v>
      </c>
    </row>
    <row r="26" ht="15.0" customHeight="1">
      <c r="A26" s="5" t="s">
        <v>112</v>
      </c>
      <c r="B26" s="5" t="s">
        <v>113</v>
      </c>
      <c r="C26" s="5" t="s">
        <v>51</v>
      </c>
      <c r="D26" s="5" t="s">
        <v>56</v>
      </c>
      <c r="E26" s="5">
        <v>11.5</v>
      </c>
      <c r="F26" s="6">
        <v>0.6153846154</v>
      </c>
      <c r="G26" s="5">
        <v>75.0</v>
      </c>
      <c r="H26" s="5">
        <v>1514.0</v>
      </c>
      <c r="I26" s="5" t="b">
        <v>1</v>
      </c>
      <c r="J26" s="5" t="b">
        <v>0</v>
      </c>
      <c r="K26" s="7">
        <v>55.376923077708</v>
      </c>
      <c r="L26" s="8">
        <v>0.1633282210553944</v>
      </c>
      <c r="M26" s="9">
        <f t="shared" si="1"/>
        <v>3.205634022</v>
      </c>
      <c r="N26" s="7">
        <f t="shared" si="2"/>
        <v>108.9915567</v>
      </c>
      <c r="O26" s="9">
        <f t="shared" si="3"/>
        <v>9.477526673</v>
      </c>
      <c r="P26" s="9">
        <v>3.735372266765657</v>
      </c>
      <c r="Q26" s="9">
        <v>3.095444885124008</v>
      </c>
      <c r="R26" s="9">
        <v>3.246544062402017</v>
      </c>
      <c r="S26" s="9">
        <v>2.762227824037902</v>
      </c>
      <c r="T26" s="9">
        <v>2.758054854052048</v>
      </c>
      <c r="U26" s="9">
        <v>3.49276705574571</v>
      </c>
      <c r="V26" s="9">
        <v>2.500452988716046</v>
      </c>
      <c r="W26" s="9">
        <v>3.360135934130589</v>
      </c>
      <c r="X26" s="9">
        <v>3.06579242789006</v>
      </c>
      <c r="Y26" s="9">
        <v>2.911355871938515</v>
      </c>
      <c r="Z26" s="9">
        <v>3.78002937580028</v>
      </c>
      <c r="AA26" s="9">
        <v>3.153458445314903</v>
      </c>
      <c r="AB26" s="9">
        <v>2.849429916323854</v>
      </c>
      <c r="AC26" s="9">
        <v>3.96949700680573</v>
      </c>
      <c r="AD26" s="9">
        <v>2.671901671818365</v>
      </c>
      <c r="AE26" s="9">
        <v>3.804632548588182</v>
      </c>
      <c r="AF26" s="9">
        <v>3.851078948278007</v>
      </c>
      <c r="AG26" s="9">
        <v>2.548267913243073</v>
      </c>
      <c r="AH26" s="9">
        <v>3.167362542631592</v>
      </c>
      <c r="AI26" s="9">
        <v>3.600182207284504</v>
      </c>
      <c r="AJ26" s="9">
        <v>3.200914030855502</v>
      </c>
      <c r="AK26" s="9">
        <v>2.847714095936341</v>
      </c>
      <c r="AL26" s="9">
        <v>3.716865880826661</v>
      </c>
      <c r="AM26" s="9">
        <v>2.985089976033418</v>
      </c>
      <c r="AN26" s="9">
        <v>3.196137011947482</v>
      </c>
      <c r="AO26" s="9">
        <v>3.219398726347639</v>
      </c>
      <c r="AP26" s="9">
        <v>2.800099320789207</v>
      </c>
      <c r="AQ26" s="9">
        <v>3.075912692792806</v>
      </c>
      <c r="AR26" s="9">
        <v>3.254294532769592</v>
      </c>
      <c r="AS26" s="9">
        <v>3.190582779169107</v>
      </c>
      <c r="AT26" s="9">
        <v>3.34326361702247</v>
      </c>
      <c r="AU26" s="9">
        <v>3.639649696982836</v>
      </c>
      <c r="AV26" s="9">
        <v>3.312203200048365</v>
      </c>
      <c r="AW26" s="9">
        <v>2.885442425818205</v>
      </c>
    </row>
    <row r="27" ht="15.0" customHeight="1">
      <c r="A27" s="5" t="s">
        <v>114</v>
      </c>
      <c r="B27" s="5" t="s">
        <v>115</v>
      </c>
      <c r="C27" s="5" t="s">
        <v>76</v>
      </c>
      <c r="D27" s="5" t="s">
        <v>52</v>
      </c>
      <c r="E27" s="5">
        <v>6.5</v>
      </c>
      <c r="F27" s="6">
        <v>0.65625</v>
      </c>
      <c r="G27" s="5">
        <v>85.0</v>
      </c>
      <c r="H27" s="5">
        <v>2087.0</v>
      </c>
      <c r="I27" s="5" t="b">
        <v>1</v>
      </c>
      <c r="J27" s="5" t="b">
        <v>0</v>
      </c>
      <c r="K27" s="7">
        <v>63.6703125</v>
      </c>
      <c r="L27" s="8">
        <v>0.0641331569037201</v>
      </c>
      <c r="M27" s="9">
        <f t="shared" si="1"/>
        <v>2.83382864</v>
      </c>
      <c r="N27" s="7">
        <f t="shared" si="2"/>
        <v>96.35017377</v>
      </c>
      <c r="O27" s="9">
        <f t="shared" si="3"/>
        <v>14.82310366</v>
      </c>
      <c r="P27" s="9">
        <v>2.634509587498635</v>
      </c>
      <c r="Q27" s="9">
        <v>2.523933834143175</v>
      </c>
      <c r="R27" s="9">
        <v>3.280420082093441</v>
      </c>
      <c r="S27" s="9">
        <v>2.898286851204335</v>
      </c>
      <c r="T27" s="9">
        <v>2.765283434442126</v>
      </c>
      <c r="U27" s="9">
        <v>3.185288385715014</v>
      </c>
      <c r="V27" s="9">
        <v>2.710601134045903</v>
      </c>
      <c r="W27" s="9">
        <v>2.366465454051319</v>
      </c>
      <c r="X27" s="9">
        <v>3.160609394333295</v>
      </c>
      <c r="Y27" s="9">
        <v>2.826381670352205</v>
      </c>
      <c r="Z27" s="9">
        <v>2.875142772862811</v>
      </c>
      <c r="AA27" s="9">
        <v>2.643229937359834</v>
      </c>
      <c r="AB27" s="9">
        <v>2.527662409315846</v>
      </c>
      <c r="AC27" s="9">
        <v>2.82792066408288</v>
      </c>
      <c r="AD27" s="9">
        <v>3.273226524892496</v>
      </c>
      <c r="AE27" s="9">
        <v>3.334420652388935</v>
      </c>
      <c r="AF27" s="9">
        <v>2.545491777887428</v>
      </c>
      <c r="AG27" s="9">
        <v>2.46714741674287</v>
      </c>
      <c r="AH27" s="9">
        <v>3.076469781852364</v>
      </c>
      <c r="AI27" s="9">
        <v>2.368359152924262</v>
      </c>
      <c r="AJ27" s="9">
        <v>2.839701638319766</v>
      </c>
      <c r="AK27" s="9">
        <v>2.786075098923078</v>
      </c>
      <c r="AL27" s="9">
        <v>3.306208584138828</v>
      </c>
      <c r="AM27" s="9">
        <v>2.775147802600369</v>
      </c>
      <c r="AN27" s="9">
        <v>2.374529610732422</v>
      </c>
      <c r="AO27" s="9">
        <v>3.227082049460202</v>
      </c>
      <c r="AP27" s="9">
        <v>2.866985730462174</v>
      </c>
      <c r="AQ27" s="9">
        <v>2.846208499145459</v>
      </c>
      <c r="AR27" s="9">
        <v>2.549227759420185</v>
      </c>
      <c r="AS27" s="9">
        <v>3.21127648779153</v>
      </c>
      <c r="AT27" s="9">
        <v>2.865974756764168</v>
      </c>
      <c r="AU27" s="9">
        <v>2.873379774785314</v>
      </c>
      <c r="AV27" s="9">
        <v>2.90646406529308</v>
      </c>
      <c r="AW27" s="9">
        <v>2.63106099306536</v>
      </c>
    </row>
    <row r="28" ht="15.0" customHeight="1">
      <c r="A28" s="5" t="s">
        <v>116</v>
      </c>
      <c r="B28" s="5" t="s">
        <v>117</v>
      </c>
      <c r="C28" s="5" t="s">
        <v>67</v>
      </c>
      <c r="D28" s="5" t="s">
        <v>83</v>
      </c>
      <c r="E28" s="5">
        <v>5.5</v>
      </c>
      <c r="F28" s="6">
        <v>1.0</v>
      </c>
      <c r="G28" s="5">
        <v>86.0</v>
      </c>
      <c r="H28" s="5">
        <v>3038.0</v>
      </c>
      <c r="I28" s="5" t="b">
        <v>1</v>
      </c>
      <c r="J28" s="5" t="b">
        <v>0</v>
      </c>
      <c r="K28" s="7">
        <v>86.0</v>
      </c>
      <c r="L28" s="8">
        <v>0.0837292547519362</v>
      </c>
      <c r="M28" s="9">
        <f t="shared" si="1"/>
        <v>3.569627877</v>
      </c>
      <c r="N28" s="7">
        <f t="shared" si="2"/>
        <v>121.3673478</v>
      </c>
      <c r="O28" s="9">
        <f t="shared" si="3"/>
        <v>22.06679051</v>
      </c>
      <c r="P28" s="9">
        <v>4.335878008241109</v>
      </c>
      <c r="Q28" s="9">
        <v>3.18310907502233</v>
      </c>
      <c r="R28" s="9">
        <v>3.587816985680454</v>
      </c>
      <c r="S28" s="9">
        <v>4.134352242214504</v>
      </c>
      <c r="T28" s="9">
        <v>3.072965250795994</v>
      </c>
      <c r="U28" s="9">
        <v>4.379429952958739</v>
      </c>
      <c r="V28" s="9">
        <v>3.834644851793393</v>
      </c>
      <c r="W28" s="9">
        <v>2.85588027039234</v>
      </c>
      <c r="X28" s="9">
        <v>3.809078728708259</v>
      </c>
      <c r="Y28" s="9">
        <v>3.401048229112737</v>
      </c>
      <c r="Z28" s="9">
        <v>3.092957893815318</v>
      </c>
      <c r="AA28" s="9">
        <v>3.505131758899408</v>
      </c>
      <c r="AB28" s="9">
        <v>3.450848929606964</v>
      </c>
      <c r="AC28" s="9">
        <v>3.579771150605012</v>
      </c>
      <c r="AD28" s="9">
        <v>3.133886498559678</v>
      </c>
      <c r="AE28" s="9">
        <v>3.496288049156902</v>
      </c>
      <c r="AF28" s="9">
        <v>3.505733939750909</v>
      </c>
      <c r="AG28" s="9">
        <v>3.572841466777946</v>
      </c>
      <c r="AH28" s="9">
        <v>3.569266127985699</v>
      </c>
      <c r="AI28" s="9">
        <v>3.693005134144791</v>
      </c>
      <c r="AJ28" s="9">
        <v>3.306386635400815</v>
      </c>
      <c r="AK28" s="9">
        <v>3.016972961542505</v>
      </c>
      <c r="AL28" s="9">
        <v>4.143929428849366</v>
      </c>
      <c r="AM28" s="9">
        <v>3.008236237304888</v>
      </c>
      <c r="AN28" s="9">
        <v>2.935658720245473</v>
      </c>
      <c r="AO28" s="9">
        <v>3.992006085694086</v>
      </c>
      <c r="AP28" s="9">
        <v>4.055139185015038</v>
      </c>
      <c r="AQ28" s="9">
        <v>2.718701334628538</v>
      </c>
      <c r="AR28" s="9">
        <v>3.820110533583915</v>
      </c>
      <c r="AS28" s="9">
        <v>4.365570844767084</v>
      </c>
      <c r="AT28" s="9">
        <v>3.294228776788334</v>
      </c>
      <c r="AU28" s="9">
        <v>3.5914949419962</v>
      </c>
      <c r="AV28" s="9">
        <v>4.140422583186353</v>
      </c>
      <c r="AW28" s="9">
        <v>3.784554999586749</v>
      </c>
    </row>
    <row r="29" ht="15.0" customHeight="1">
      <c r="A29" s="5" t="s">
        <v>118</v>
      </c>
      <c r="B29" s="5" t="s">
        <v>119</v>
      </c>
      <c r="C29" s="5" t="s">
        <v>67</v>
      </c>
      <c r="D29" s="5" t="s">
        <v>56</v>
      </c>
      <c r="E29" s="5">
        <v>7.0</v>
      </c>
      <c r="F29" s="6">
        <v>0.1818181818</v>
      </c>
      <c r="G29" s="5">
        <v>58.0</v>
      </c>
      <c r="H29" s="5">
        <v>1443.0</v>
      </c>
      <c r="I29" s="5" t="b">
        <v>0</v>
      </c>
      <c r="J29" s="5" t="b">
        <v>0</v>
      </c>
      <c r="K29" s="7">
        <v>30.165454544836</v>
      </c>
      <c r="L29" s="8">
        <v>0.1319270987147201</v>
      </c>
      <c r="M29" s="9">
        <f t="shared" si="1"/>
        <v>1.851357509</v>
      </c>
      <c r="N29" s="7">
        <f t="shared" si="2"/>
        <v>62.94615529</v>
      </c>
      <c r="O29" s="9">
        <f t="shared" si="3"/>
        <v>8.992307899</v>
      </c>
      <c r="P29" s="9">
        <v>2.026442676920812</v>
      </c>
      <c r="Q29" s="9">
        <v>1.659868957298139</v>
      </c>
      <c r="R29" s="9">
        <v>1.837100252595831</v>
      </c>
      <c r="S29" s="9">
        <v>2.188004096586249</v>
      </c>
      <c r="T29" s="9">
        <v>1.713770739769202</v>
      </c>
      <c r="U29" s="9">
        <v>2.105119090392154</v>
      </c>
      <c r="V29" s="9">
        <v>2.115882058811076</v>
      </c>
      <c r="W29" s="9">
        <v>1.566269494226755</v>
      </c>
      <c r="X29" s="9">
        <v>1.831017729760129</v>
      </c>
      <c r="Y29" s="9">
        <v>1.697266005744945</v>
      </c>
      <c r="Z29" s="9">
        <v>1.658043438916504</v>
      </c>
      <c r="AA29" s="9">
        <v>1.871739207660619</v>
      </c>
      <c r="AB29" s="9">
        <v>1.757362818125725</v>
      </c>
      <c r="AC29" s="9">
        <v>1.875129748730957</v>
      </c>
      <c r="AD29" s="9">
        <v>1.748848912745066</v>
      </c>
      <c r="AE29" s="9">
        <v>1.900462626017815</v>
      </c>
      <c r="AF29" s="9">
        <v>1.805638965745153</v>
      </c>
      <c r="AG29" s="9">
        <v>1.921431405435292</v>
      </c>
      <c r="AH29" s="9">
        <v>1.914050397394002</v>
      </c>
      <c r="AI29" s="9">
        <v>1.849688007321126</v>
      </c>
      <c r="AJ29" s="9">
        <v>1.725106903792547</v>
      </c>
      <c r="AK29" s="9">
        <v>1.676436321476147</v>
      </c>
      <c r="AL29" s="9">
        <v>2.085583274488916</v>
      </c>
      <c r="AM29" s="9">
        <v>1.698016613026475</v>
      </c>
      <c r="AN29" s="9">
        <v>1.545352252085912</v>
      </c>
      <c r="AO29" s="9">
        <v>1.97945256334106</v>
      </c>
      <c r="AP29" s="9">
        <v>2.043708228354331</v>
      </c>
      <c r="AQ29" s="9">
        <v>1.584107185716476</v>
      </c>
      <c r="AR29" s="9">
        <v>1.851777774526635</v>
      </c>
      <c r="AS29" s="9">
        <v>2.077487422416222</v>
      </c>
      <c r="AT29" s="9">
        <v>1.859864137839625</v>
      </c>
      <c r="AU29" s="9">
        <v>1.847258238099882</v>
      </c>
      <c r="AV29" s="9">
        <v>2.136200622491612</v>
      </c>
      <c r="AW29" s="9">
        <v>1.792667124125223</v>
      </c>
    </row>
    <row r="30" ht="15.0" customHeight="1">
      <c r="A30" s="5" t="s">
        <v>120</v>
      </c>
      <c r="B30" s="5" t="s">
        <v>121</v>
      </c>
      <c r="C30" s="5" t="s">
        <v>79</v>
      </c>
      <c r="D30" s="5" t="s">
        <v>52</v>
      </c>
      <c r="E30" s="5">
        <v>7.5</v>
      </c>
      <c r="F30" s="6">
        <v>0.8484848485</v>
      </c>
      <c r="G30" s="10">
        <v>79.0</v>
      </c>
      <c r="H30" s="5">
        <v>2513.0</v>
      </c>
      <c r="I30" s="5" t="b">
        <v>1</v>
      </c>
      <c r="J30" s="5" t="b">
        <v>0</v>
      </c>
      <c r="K30" s="7">
        <v>70.507575758425</v>
      </c>
      <c r="L30" s="8">
        <v>0.08538398557648125</v>
      </c>
      <c r="M30" s="9">
        <f t="shared" si="1"/>
        <v>3.792352781</v>
      </c>
      <c r="N30" s="7">
        <f t="shared" si="2"/>
        <v>128.9399946</v>
      </c>
      <c r="O30" s="9">
        <f t="shared" si="3"/>
        <v>17.19199928</v>
      </c>
      <c r="P30" s="9">
        <v>3.396644729285418</v>
      </c>
      <c r="Q30" s="9">
        <v>4.457335628770918</v>
      </c>
      <c r="R30" s="9">
        <v>0.0</v>
      </c>
      <c r="S30" s="9">
        <v>3.806634825578838</v>
      </c>
      <c r="T30" s="9">
        <v>7.655301655895978</v>
      </c>
      <c r="U30" s="9">
        <v>4.300378160202008</v>
      </c>
      <c r="V30" s="9">
        <v>3.478256797143706</v>
      </c>
      <c r="W30" s="9">
        <v>3.761814240100542</v>
      </c>
      <c r="X30" s="9">
        <v>3.812081634944949</v>
      </c>
      <c r="Y30" s="9">
        <v>3.208678770535204</v>
      </c>
      <c r="Z30" s="9">
        <v>3.682182152223504</v>
      </c>
      <c r="AA30" s="9">
        <v>3.781641627114937</v>
      </c>
      <c r="AB30" s="9">
        <v>4.457650655699013</v>
      </c>
      <c r="AC30" s="9">
        <v>3.349628916804313</v>
      </c>
      <c r="AD30" s="9">
        <v>3.900057867340463</v>
      </c>
      <c r="AE30" s="9">
        <v>4.128643873450788</v>
      </c>
      <c r="AF30" s="9">
        <v>3.063315084409007</v>
      </c>
      <c r="AG30" s="9">
        <v>4.363876853550708</v>
      </c>
      <c r="AH30" s="9">
        <v>3.32664343406781</v>
      </c>
      <c r="AI30" s="9">
        <v>3.9146974542798</v>
      </c>
      <c r="AJ30" s="9">
        <v>4.40276266385932</v>
      </c>
      <c r="AK30" s="9">
        <v>3.056683529998132</v>
      </c>
      <c r="AL30" s="9">
        <v>4.263969204834182</v>
      </c>
      <c r="AM30" s="9">
        <v>3.729096603607922</v>
      </c>
      <c r="AN30" s="9">
        <v>3.665557429209907</v>
      </c>
      <c r="AO30" s="9">
        <v>3.848044743341412</v>
      </c>
      <c r="AP30" s="9">
        <v>4.55235899954207</v>
      </c>
      <c r="AQ30" s="9">
        <v>3.298898633139359</v>
      </c>
      <c r="AR30" s="9">
        <v>3.72725734160157</v>
      </c>
      <c r="AS30" s="9">
        <v>3.855887314478033</v>
      </c>
      <c r="AT30" s="9">
        <v>3.578255613515584</v>
      </c>
      <c r="AU30" s="9">
        <v>3.804832195036804</v>
      </c>
      <c r="AV30" s="9">
        <v>3.480491832585276</v>
      </c>
      <c r="AW30" s="9">
        <v>3.830434101096126</v>
      </c>
    </row>
    <row r="31" ht="15.0" customHeight="1">
      <c r="A31" s="5" t="s">
        <v>122</v>
      </c>
      <c r="B31" s="5" t="s">
        <v>123</v>
      </c>
      <c r="C31" s="5" t="s">
        <v>124</v>
      </c>
      <c r="D31" s="5" t="s">
        <v>52</v>
      </c>
      <c r="E31" s="5">
        <v>6.5</v>
      </c>
      <c r="F31" s="6"/>
      <c r="G31" s="5"/>
      <c r="H31" s="5">
        <v>3306.0</v>
      </c>
      <c r="I31" s="5" t="b">
        <v>1</v>
      </c>
      <c r="J31" s="5" t="b">
        <v>0</v>
      </c>
      <c r="K31" s="7">
        <v>74.05</v>
      </c>
      <c r="L31" s="8">
        <v>0.08331541015763319</v>
      </c>
      <c r="M31" s="9">
        <f t="shared" si="1"/>
        <v>2.901909567</v>
      </c>
      <c r="N31" s="7">
        <f t="shared" si="2"/>
        <v>98.66492528</v>
      </c>
      <c r="O31" s="9">
        <f t="shared" si="3"/>
        <v>15.17921927</v>
      </c>
      <c r="P31" s="9">
        <v>2.645195617153492</v>
      </c>
      <c r="Q31" s="9">
        <v>2.849552606125579</v>
      </c>
      <c r="R31" s="9">
        <v>2.808018175469641</v>
      </c>
      <c r="S31" s="9">
        <v>2.725673663270865</v>
      </c>
      <c r="T31" s="9">
        <v>3.289029322970163</v>
      </c>
      <c r="U31" s="9">
        <v>2.856467962271456</v>
      </c>
      <c r="V31" s="9">
        <v>2.527003264503483</v>
      </c>
      <c r="W31" s="9">
        <v>3.290606524138741</v>
      </c>
      <c r="X31" s="9">
        <v>2.530334013226158</v>
      </c>
      <c r="Y31" s="9">
        <v>3.253024863979207</v>
      </c>
      <c r="Z31" s="9">
        <v>2.844834313192889</v>
      </c>
      <c r="AA31" s="9">
        <v>2.923117402976566</v>
      </c>
      <c r="AB31" s="9">
        <v>3.267123707622272</v>
      </c>
      <c r="AC31" s="9">
        <v>2.915519069743655</v>
      </c>
      <c r="AD31" s="9">
        <v>2.649716576800381</v>
      </c>
      <c r="AE31" s="9">
        <v>3.217246174368724</v>
      </c>
      <c r="AF31" s="9">
        <v>2.956986474912262</v>
      </c>
      <c r="AG31" s="9">
        <v>2.92502836210431</v>
      </c>
      <c r="AH31" s="9">
        <v>2.752222607063941</v>
      </c>
      <c r="AI31" s="9">
        <v>2.60456007643707</v>
      </c>
      <c r="AJ31" s="9">
        <v>3.164729459457916</v>
      </c>
      <c r="AK31" s="9">
        <v>2.949403911840806</v>
      </c>
      <c r="AL31" s="9">
        <v>3.222710333531206</v>
      </c>
      <c r="AM31" s="9">
        <v>2.899363209029902</v>
      </c>
      <c r="AN31" s="9">
        <v>2.50850926585734</v>
      </c>
      <c r="AO31" s="9">
        <v>2.904378253508991</v>
      </c>
      <c r="AP31" s="9">
        <v>3.102436327798073</v>
      </c>
      <c r="AQ31" s="9">
        <v>2.967191361125156</v>
      </c>
      <c r="AR31" s="9">
        <v>2.907642506234321</v>
      </c>
      <c r="AS31" s="9">
        <v>2.950750139905213</v>
      </c>
      <c r="AT31" s="9">
        <v>2.685654730453415</v>
      </c>
      <c r="AU31" s="9">
        <v>2.749604324200335</v>
      </c>
      <c r="AV31" s="9">
        <v>3.162384444848549</v>
      </c>
      <c r="AW31" s="9">
        <v>2.65890622907679</v>
      </c>
    </row>
    <row r="32" ht="15.0" customHeight="1">
      <c r="A32" s="5" t="s">
        <v>125</v>
      </c>
      <c r="B32" s="5" t="s">
        <v>126</v>
      </c>
      <c r="C32" s="5" t="s">
        <v>79</v>
      </c>
      <c r="D32" s="5" t="s">
        <v>56</v>
      </c>
      <c r="E32" s="5">
        <v>7.5</v>
      </c>
      <c r="F32" s="6">
        <v>0.6538461538</v>
      </c>
      <c r="G32" s="5">
        <v>83.0</v>
      </c>
      <c r="H32" s="5">
        <v>1655.0</v>
      </c>
      <c r="I32" s="5" t="b">
        <v>0</v>
      </c>
      <c r="J32" s="5" t="b">
        <v>0</v>
      </c>
      <c r="K32" s="7">
        <v>23.98</v>
      </c>
      <c r="L32" s="8">
        <v>0.1551929760031489</v>
      </c>
      <c r="M32" s="9">
        <f t="shared" si="1"/>
        <v>1.944190812</v>
      </c>
      <c r="N32" s="7">
        <f t="shared" si="2"/>
        <v>66.10248762</v>
      </c>
      <c r="O32" s="9">
        <f t="shared" si="3"/>
        <v>8.813665016</v>
      </c>
      <c r="P32" s="9">
        <v>1.797959102828164</v>
      </c>
      <c r="Q32" s="9">
        <v>2.230756284918625</v>
      </c>
      <c r="R32" s="9">
        <v>0.0</v>
      </c>
      <c r="S32" s="9">
        <v>1.918083575437993</v>
      </c>
      <c r="T32" s="9">
        <v>3.969647482852193</v>
      </c>
      <c r="U32" s="9">
        <v>2.118304653303595</v>
      </c>
      <c r="V32" s="9">
        <v>1.833898166416646</v>
      </c>
      <c r="W32" s="9">
        <v>1.924315375911783</v>
      </c>
      <c r="X32" s="9">
        <v>1.937212060064059</v>
      </c>
      <c r="Y32" s="9">
        <v>1.702250381748333</v>
      </c>
      <c r="Z32" s="9">
        <v>1.892081964283419</v>
      </c>
      <c r="AA32" s="9">
        <v>1.934722659301719</v>
      </c>
      <c r="AB32" s="9">
        <v>2.198911948005226</v>
      </c>
      <c r="AC32" s="9">
        <v>1.781818337367618</v>
      </c>
      <c r="AD32" s="9">
        <v>2.003154035751542</v>
      </c>
      <c r="AE32" s="9">
        <v>2.070161305554707</v>
      </c>
      <c r="AF32" s="9">
        <v>1.646837872923238</v>
      </c>
      <c r="AG32" s="9">
        <v>2.178896682943319</v>
      </c>
      <c r="AH32" s="9">
        <v>1.742734459597943</v>
      </c>
      <c r="AI32" s="9">
        <v>2.010716188932255</v>
      </c>
      <c r="AJ32" s="9">
        <v>2.170602141986362</v>
      </c>
      <c r="AK32" s="9">
        <v>1.665113338101025</v>
      </c>
      <c r="AL32" s="9">
        <v>2.135993936929809</v>
      </c>
      <c r="AM32" s="9">
        <v>1.878791766953041</v>
      </c>
      <c r="AN32" s="9">
        <v>1.883327658077748</v>
      </c>
      <c r="AO32" s="9">
        <v>1.939353114460922</v>
      </c>
      <c r="AP32" s="9">
        <v>2.283831122963139</v>
      </c>
      <c r="AQ32" s="9">
        <v>1.740864139235345</v>
      </c>
      <c r="AR32" s="9">
        <v>1.947637933784468</v>
      </c>
      <c r="AS32" s="9">
        <v>1.989232792480106</v>
      </c>
      <c r="AT32" s="9">
        <v>1.842621020570777</v>
      </c>
      <c r="AU32" s="9">
        <v>1.959804442277028</v>
      </c>
      <c r="AV32" s="9">
        <v>1.809573479664858</v>
      </c>
      <c r="AW32" s="9">
        <v>1.963278194208467</v>
      </c>
    </row>
    <row r="33" ht="15.0" customHeight="1">
      <c r="A33" s="5" t="s">
        <v>127</v>
      </c>
      <c r="B33" s="5" t="s">
        <v>128</v>
      </c>
      <c r="C33" s="5" t="s">
        <v>55</v>
      </c>
      <c r="D33" s="5" t="s">
        <v>52</v>
      </c>
      <c r="E33" s="5">
        <v>6.5</v>
      </c>
      <c r="F33" s="6">
        <v>0.75</v>
      </c>
      <c r="G33" s="5">
        <v>85.0</v>
      </c>
      <c r="H33" s="5">
        <v>2057.0</v>
      </c>
      <c r="I33" s="5" t="b">
        <v>1</v>
      </c>
      <c r="J33" s="5" t="b">
        <v>0</v>
      </c>
      <c r="K33" s="7">
        <v>69.4875</v>
      </c>
      <c r="L33" s="8">
        <v>0.06264428988412413</v>
      </c>
      <c r="M33" s="9">
        <f t="shared" si="1"/>
        <v>2.431288955</v>
      </c>
      <c r="N33" s="7">
        <f t="shared" si="2"/>
        <v>82.66382448</v>
      </c>
      <c r="O33" s="9">
        <f t="shared" si="3"/>
        <v>12.71751146</v>
      </c>
      <c r="P33" s="9">
        <v>2.38049222306868</v>
      </c>
      <c r="Q33" s="9">
        <v>2.637597060111119</v>
      </c>
      <c r="R33" s="9">
        <v>2.484715245856547</v>
      </c>
      <c r="S33" s="9">
        <v>2.652814331169003</v>
      </c>
      <c r="T33" s="9">
        <v>2.254442843887472</v>
      </c>
      <c r="U33" s="9">
        <v>2.436772346423234</v>
      </c>
      <c r="V33" s="9">
        <v>2.45984594159244</v>
      </c>
      <c r="W33" s="9">
        <v>2.401635052179288</v>
      </c>
      <c r="X33" s="9">
        <v>2.361188112209633</v>
      </c>
      <c r="Y33" s="9">
        <v>2.154123936773003</v>
      </c>
      <c r="Z33" s="9">
        <v>2.618809260655412</v>
      </c>
      <c r="AA33" s="9">
        <v>2.274609993613076</v>
      </c>
      <c r="AB33" s="9">
        <v>2.588608052989308</v>
      </c>
      <c r="AC33" s="9">
        <v>2.434052385447234</v>
      </c>
      <c r="AD33" s="9">
        <v>2.491680978207383</v>
      </c>
      <c r="AE33" s="9">
        <v>2.252495198566905</v>
      </c>
      <c r="AF33" s="9">
        <v>2.3557658549663</v>
      </c>
      <c r="AG33" s="9">
        <v>2.29750675061979</v>
      </c>
      <c r="AH33" s="9">
        <v>2.404092425123597</v>
      </c>
      <c r="AI33" s="9">
        <v>2.628397158892906</v>
      </c>
      <c r="AJ33" s="9">
        <v>2.241773549930703</v>
      </c>
      <c r="AK33" s="9">
        <v>2.42088483863263</v>
      </c>
      <c r="AL33" s="9">
        <v>2.549269223211989</v>
      </c>
      <c r="AM33" s="9">
        <v>2.268794009811745</v>
      </c>
      <c r="AN33" s="9">
        <v>2.444419800773943</v>
      </c>
      <c r="AO33" s="9">
        <v>2.442025913935377</v>
      </c>
      <c r="AP33" s="9">
        <v>2.670517830671062</v>
      </c>
      <c r="AQ33" s="9">
        <v>2.431069481131121</v>
      </c>
      <c r="AR33" s="9">
        <v>2.470826903694362</v>
      </c>
      <c r="AS33" s="9">
        <v>2.559998295135894</v>
      </c>
      <c r="AT33" s="9">
        <v>2.679570831169041</v>
      </c>
      <c r="AU33" s="9">
        <v>2.292561592217893</v>
      </c>
      <c r="AV33" s="9">
        <v>2.205153380890642</v>
      </c>
      <c r="AW33" s="9">
        <v>2.417313681354345</v>
      </c>
    </row>
    <row r="34" ht="15.0" customHeight="1">
      <c r="A34" s="5" t="s">
        <v>129</v>
      </c>
      <c r="B34" s="5" t="s">
        <v>130</v>
      </c>
      <c r="C34" s="5" t="s">
        <v>131</v>
      </c>
      <c r="D34" s="5" t="s">
        <v>83</v>
      </c>
      <c r="E34" s="5">
        <v>5.5</v>
      </c>
      <c r="F34" s="6">
        <v>1.0</v>
      </c>
      <c r="G34" s="5">
        <v>89.0</v>
      </c>
      <c r="H34" s="5">
        <v>3259.0</v>
      </c>
      <c r="I34" s="5" t="b">
        <v>1</v>
      </c>
      <c r="J34" s="5" t="b">
        <v>0</v>
      </c>
      <c r="K34" s="7">
        <v>89.0</v>
      </c>
      <c r="L34" s="8">
        <v>0.074060948918461</v>
      </c>
      <c r="M34" s="9">
        <f t="shared" si="1"/>
        <v>3.087460173</v>
      </c>
      <c r="N34" s="7">
        <f t="shared" si="2"/>
        <v>104.9736459</v>
      </c>
      <c r="O34" s="9">
        <f t="shared" si="3"/>
        <v>19.08611743</v>
      </c>
      <c r="P34" s="9">
        <v>3.845728399132997</v>
      </c>
      <c r="Q34" s="9">
        <v>2.5519904193566</v>
      </c>
      <c r="R34" s="9">
        <v>3.792509929979145</v>
      </c>
      <c r="S34" s="9">
        <v>2.659149779226755</v>
      </c>
      <c r="T34" s="9">
        <v>2.772234813838484</v>
      </c>
      <c r="U34" s="9">
        <v>3.049042832310204</v>
      </c>
      <c r="V34" s="9">
        <v>2.676750243532106</v>
      </c>
      <c r="W34" s="9">
        <v>3.465560103499072</v>
      </c>
      <c r="X34" s="9">
        <v>3.105686403242343</v>
      </c>
      <c r="Y34" s="9">
        <v>3.358010457238702</v>
      </c>
      <c r="Z34" s="9">
        <v>3.28061284178907</v>
      </c>
      <c r="AA34" s="9">
        <v>3.034023220298612</v>
      </c>
      <c r="AB34" s="9">
        <v>3.619810285343344</v>
      </c>
      <c r="AC34" s="9">
        <v>2.49093645318695</v>
      </c>
      <c r="AD34" s="9">
        <v>2.931480709784632</v>
      </c>
      <c r="AE34" s="9">
        <v>2.71910585363687</v>
      </c>
      <c r="AF34" s="9">
        <v>3.10842409440811</v>
      </c>
      <c r="AG34" s="9">
        <v>2.675192717787294</v>
      </c>
      <c r="AH34" s="9">
        <v>3.029886802560841</v>
      </c>
      <c r="AI34" s="9">
        <v>3.828440144301939</v>
      </c>
      <c r="AJ34" s="9">
        <v>3.252612739279946</v>
      </c>
      <c r="AK34" s="9">
        <v>3.624884462366299</v>
      </c>
      <c r="AL34" s="9">
        <v>2.714923452146556</v>
      </c>
      <c r="AM34" s="9">
        <v>2.898891537303459</v>
      </c>
      <c r="AN34" s="9">
        <v>3.532663185289332</v>
      </c>
      <c r="AO34" s="9">
        <v>2.871690085006459</v>
      </c>
      <c r="AP34" s="9">
        <v>2.588848269376929</v>
      </c>
      <c r="AQ34" s="9">
        <v>3.0493957272127</v>
      </c>
      <c r="AR34" s="9">
        <v>2.982126829661005</v>
      </c>
      <c r="AS34" s="9">
        <v>3.188763442555801</v>
      </c>
      <c r="AT34" s="9">
        <v>2.766080165896007</v>
      </c>
      <c r="AU34" s="9">
        <v>3.103339895350875</v>
      </c>
      <c r="AV34" s="9">
        <v>3.110964476769536</v>
      </c>
      <c r="AW34" s="9">
        <v>3.29388510862121</v>
      </c>
    </row>
    <row r="35" ht="15.0" customHeight="1">
      <c r="A35" s="5" t="s">
        <v>132</v>
      </c>
      <c r="B35" s="5" t="s">
        <v>133</v>
      </c>
      <c r="C35" s="5" t="s">
        <v>64</v>
      </c>
      <c r="D35" s="5" t="s">
        <v>56</v>
      </c>
      <c r="E35" s="5">
        <v>7.0</v>
      </c>
      <c r="F35" s="6">
        <v>0.5</v>
      </c>
      <c r="G35" s="10">
        <v>65.0</v>
      </c>
      <c r="H35" s="5">
        <v>1382.0</v>
      </c>
      <c r="I35" s="5" t="b">
        <v>0</v>
      </c>
      <c r="J35" s="5" t="b">
        <v>0</v>
      </c>
      <c r="K35" s="7">
        <v>44.49</v>
      </c>
      <c r="L35" s="8">
        <v>0.1186835949345341</v>
      </c>
      <c r="M35" s="9">
        <f t="shared" si="1"/>
        <v>2.013275417</v>
      </c>
      <c r="N35" s="7">
        <f t="shared" si="2"/>
        <v>68.45136417</v>
      </c>
      <c r="O35" s="9">
        <f t="shared" si="3"/>
        <v>9.77876631</v>
      </c>
      <c r="P35" s="9">
        <v>2.338744813632172</v>
      </c>
      <c r="Q35" s="9">
        <v>2.020204177816596</v>
      </c>
      <c r="R35" s="9">
        <v>2.251694738298382</v>
      </c>
      <c r="S35" s="9">
        <v>2.048369388126408</v>
      </c>
      <c r="T35" s="9">
        <v>1.867424302199387</v>
      </c>
      <c r="U35" s="9">
        <v>1.995165137358015</v>
      </c>
      <c r="V35" s="9">
        <v>2.425732420938367</v>
      </c>
      <c r="W35" s="9">
        <v>1.78653792506435</v>
      </c>
      <c r="X35" s="9">
        <v>2.302200938364987</v>
      </c>
      <c r="Y35" s="9">
        <v>2.044279999303237</v>
      </c>
      <c r="Z35" s="9">
        <v>1.853751563396646</v>
      </c>
      <c r="AA35" s="9">
        <v>1.788739713602369</v>
      </c>
      <c r="AB35" s="9">
        <v>1.896059940003465</v>
      </c>
      <c r="AC35" s="9">
        <v>1.833844925061345</v>
      </c>
      <c r="AD35" s="9">
        <v>1.906328705012623</v>
      </c>
      <c r="AE35" s="9">
        <v>1.741080831004492</v>
      </c>
      <c r="AF35" s="9">
        <v>2.230870465241848</v>
      </c>
      <c r="AG35" s="9">
        <v>2.292436394508032</v>
      </c>
      <c r="AH35" s="9">
        <v>2.029957277120285</v>
      </c>
      <c r="AI35" s="9">
        <v>2.325763415724465</v>
      </c>
      <c r="AJ35" s="9">
        <v>1.808721891223414</v>
      </c>
      <c r="AK35" s="9">
        <v>1.675847821070083</v>
      </c>
      <c r="AL35" s="9">
        <v>2.174194895978385</v>
      </c>
      <c r="AM35" s="9">
        <v>1.954249590480383</v>
      </c>
      <c r="AN35" s="9">
        <v>2.002501370833731</v>
      </c>
      <c r="AO35" s="9">
        <v>1.964555381641833</v>
      </c>
      <c r="AP35" s="9">
        <v>2.014753088634647</v>
      </c>
      <c r="AQ35" s="9">
        <v>2.095312239527216</v>
      </c>
      <c r="AR35" s="9">
        <v>2.10421459793008</v>
      </c>
      <c r="AS35" s="9">
        <v>1.65061918220455</v>
      </c>
      <c r="AT35" s="9">
        <v>2.363251376299996</v>
      </c>
      <c r="AU35" s="9">
        <v>1.948909824476766</v>
      </c>
      <c r="AV35" s="9">
        <v>1.697362161907123</v>
      </c>
      <c r="AW35" s="9">
        <v>2.017683674311123</v>
      </c>
    </row>
    <row r="36" ht="15.0" customHeight="1">
      <c r="A36" s="5" t="s">
        <v>134</v>
      </c>
      <c r="B36" s="5" t="s">
        <v>135</v>
      </c>
      <c r="C36" s="5" t="s">
        <v>136</v>
      </c>
      <c r="D36" s="5" t="s">
        <v>103</v>
      </c>
      <c r="E36" s="5">
        <v>4.5</v>
      </c>
      <c r="F36" s="6">
        <v>1.0</v>
      </c>
      <c r="G36" s="5">
        <v>88.0</v>
      </c>
      <c r="H36" s="5">
        <v>3044.0</v>
      </c>
      <c r="I36" s="5" t="b">
        <v>1</v>
      </c>
      <c r="J36" s="5" t="b">
        <v>0</v>
      </c>
      <c r="K36" s="7">
        <v>88.0</v>
      </c>
      <c r="L36" s="8">
        <v>0.08254455008270921</v>
      </c>
      <c r="M36" s="9">
        <f t="shared" si="1"/>
        <v>3.946274971</v>
      </c>
      <c r="N36" s="7">
        <f t="shared" si="2"/>
        <v>134.173349</v>
      </c>
      <c r="O36" s="9">
        <f t="shared" si="3"/>
        <v>29.81629978</v>
      </c>
      <c r="P36" s="9">
        <v>4.010280623511886</v>
      </c>
      <c r="Q36" s="9">
        <v>3.828864504555446</v>
      </c>
      <c r="R36" s="9">
        <v>3.806185394969257</v>
      </c>
      <c r="S36" s="9">
        <v>4.07597297940087</v>
      </c>
      <c r="T36" s="9">
        <v>4.013769514412212</v>
      </c>
      <c r="U36" s="9">
        <v>3.969686917831099</v>
      </c>
      <c r="V36" s="9">
        <v>3.816906554282526</v>
      </c>
      <c r="W36" s="9">
        <v>3.914250067108318</v>
      </c>
      <c r="X36" s="9">
        <v>3.81681410306231</v>
      </c>
      <c r="Y36" s="9">
        <v>3.93707325257567</v>
      </c>
      <c r="Z36" s="9">
        <v>3.884115054678658</v>
      </c>
      <c r="AA36" s="9">
        <v>4.125472496737803</v>
      </c>
      <c r="AB36" s="9">
        <v>3.777690373292768</v>
      </c>
      <c r="AC36" s="9">
        <v>4.013371141263112</v>
      </c>
      <c r="AD36" s="9">
        <v>4.002326993501552</v>
      </c>
      <c r="AE36" s="9">
        <v>3.934905361175346</v>
      </c>
      <c r="AF36" s="9">
        <v>3.912621627986613</v>
      </c>
      <c r="AG36" s="9">
        <v>3.898104716372331</v>
      </c>
      <c r="AH36" s="9">
        <v>3.862084480483027</v>
      </c>
      <c r="AI36" s="9">
        <v>4.135507018592352</v>
      </c>
      <c r="AJ36" s="9">
        <v>3.833596864907625</v>
      </c>
      <c r="AK36" s="9">
        <v>3.938188279494486</v>
      </c>
      <c r="AL36" s="9">
        <v>3.785737703340227</v>
      </c>
      <c r="AM36" s="9">
        <v>3.933301945877819</v>
      </c>
      <c r="AN36" s="9">
        <v>3.932233386055466</v>
      </c>
      <c r="AO36" s="9">
        <v>3.912410247259489</v>
      </c>
      <c r="AP36" s="9">
        <v>3.802616156490349</v>
      </c>
      <c r="AQ36" s="9">
        <v>4.130962119084391</v>
      </c>
      <c r="AR36" s="9">
        <v>3.805990018610575</v>
      </c>
      <c r="AS36" s="9">
        <v>4.249562193059009</v>
      </c>
      <c r="AT36" s="9">
        <v>4.244832160826955</v>
      </c>
      <c r="AU36" s="9">
        <v>3.769629475291197</v>
      </c>
      <c r="AV36" s="9">
        <v>4.23392861517056</v>
      </c>
      <c r="AW36" s="9">
        <v>3.864356687342314</v>
      </c>
    </row>
    <row r="37" ht="15.0" customHeight="1">
      <c r="A37" s="5" t="s">
        <v>137</v>
      </c>
      <c r="B37" s="5" t="s">
        <v>138</v>
      </c>
      <c r="C37" s="5" t="s">
        <v>67</v>
      </c>
      <c r="D37" s="5" t="s">
        <v>103</v>
      </c>
      <c r="E37" s="5">
        <v>5.0</v>
      </c>
      <c r="F37" s="6"/>
      <c r="G37" s="5"/>
      <c r="H37" s="5">
        <v>3310.0</v>
      </c>
      <c r="I37" s="5" t="b">
        <v>1</v>
      </c>
      <c r="J37" s="5" t="b">
        <v>0</v>
      </c>
      <c r="K37" s="7">
        <v>90.0</v>
      </c>
      <c r="L37" s="8">
        <v>0.08896840544823899</v>
      </c>
      <c r="M37" s="9">
        <f t="shared" si="1"/>
        <v>4.321219966</v>
      </c>
      <c r="N37" s="7">
        <f t="shared" si="2"/>
        <v>146.9214788</v>
      </c>
      <c r="O37" s="9">
        <f t="shared" si="3"/>
        <v>29.38429577</v>
      </c>
      <c r="P37" s="9">
        <v>4.658488541728237</v>
      </c>
      <c r="Q37" s="9">
        <v>4.174180350825294</v>
      </c>
      <c r="R37" s="9">
        <v>4.336733728999506</v>
      </c>
      <c r="S37" s="9">
        <v>4.52633725729729</v>
      </c>
      <c r="T37" s="9">
        <v>4.105105856754538</v>
      </c>
      <c r="U37" s="9">
        <v>4.663962734385819</v>
      </c>
      <c r="V37" s="9">
        <v>4.398637779657268</v>
      </c>
      <c r="W37" s="9">
        <v>4.020638865570596</v>
      </c>
      <c r="X37" s="9">
        <v>4.442543732037166</v>
      </c>
      <c r="Y37" s="9">
        <v>4.274920567596693</v>
      </c>
      <c r="Z37" s="9">
        <v>4.127909933620138</v>
      </c>
      <c r="AA37" s="9">
        <v>4.290143527920665</v>
      </c>
      <c r="AB37" s="9">
        <v>4.286935087086937</v>
      </c>
      <c r="AC37" s="9">
        <v>4.325333690082891</v>
      </c>
      <c r="AD37" s="9">
        <v>4.129533869360147</v>
      </c>
      <c r="AE37" s="9">
        <v>4.280063457325811</v>
      </c>
      <c r="AF37" s="9">
        <v>4.303715087443915</v>
      </c>
      <c r="AG37" s="9">
        <v>4.312779412372228</v>
      </c>
      <c r="AH37" s="9">
        <v>4.312539378921326</v>
      </c>
      <c r="AI37" s="9">
        <v>4.384125951208239</v>
      </c>
      <c r="AJ37" s="9">
        <v>4.222648052136805</v>
      </c>
      <c r="AK37" s="9">
        <v>4.083501934119808</v>
      </c>
      <c r="AL37" s="9">
        <v>4.551466411103567</v>
      </c>
      <c r="AM37" s="9">
        <v>4.073952258534245</v>
      </c>
      <c r="AN37" s="9">
        <v>4.069098868194761</v>
      </c>
      <c r="AO37" s="9">
        <v>4.499863763372207</v>
      </c>
      <c r="AP37" s="9">
        <v>4.517200177556183</v>
      </c>
      <c r="AQ37" s="9">
        <v>3.939757826621313</v>
      </c>
      <c r="AR37" s="9">
        <v>4.443667936916717</v>
      </c>
      <c r="AS37" s="9">
        <v>4.662768662080744</v>
      </c>
      <c r="AT37" s="9">
        <v>4.18833053011438</v>
      </c>
      <c r="AU37" s="9">
        <v>4.3364697583096</v>
      </c>
      <c r="AV37" s="9">
        <v>4.539611435359411</v>
      </c>
      <c r="AW37" s="9">
        <v>4.438512407885674</v>
      </c>
    </row>
    <row r="38" ht="15.0" customHeight="1">
      <c r="A38" s="5" t="s">
        <v>139</v>
      </c>
      <c r="B38" s="5" t="s">
        <v>140</v>
      </c>
      <c r="C38" s="5" t="s">
        <v>141</v>
      </c>
      <c r="D38" s="5" t="s">
        <v>52</v>
      </c>
      <c r="E38" s="5">
        <v>6.0</v>
      </c>
      <c r="F38" s="6">
        <v>0.8928571429</v>
      </c>
      <c r="G38" s="5">
        <v>79.0</v>
      </c>
      <c r="H38" s="5">
        <v>2282.0</v>
      </c>
      <c r="I38" s="5" t="b">
        <v>1</v>
      </c>
      <c r="J38" s="5" t="b">
        <v>0</v>
      </c>
      <c r="K38" s="7">
        <v>72.994642859545</v>
      </c>
      <c r="L38" s="8">
        <v>0.05885154739200169</v>
      </c>
      <c r="M38" s="9">
        <f t="shared" si="1"/>
        <v>2.824322239</v>
      </c>
      <c r="N38" s="7">
        <f t="shared" si="2"/>
        <v>96.02695612</v>
      </c>
      <c r="O38" s="9">
        <f t="shared" si="3"/>
        <v>16.00449269</v>
      </c>
      <c r="P38" s="9">
        <v>2.853592919847382</v>
      </c>
      <c r="Q38" s="9">
        <v>2.835804763586356</v>
      </c>
      <c r="R38" s="9">
        <v>2.445196018921141</v>
      </c>
      <c r="S38" s="9">
        <v>3.126628119498299</v>
      </c>
      <c r="T38" s="9">
        <v>2.67825053429205</v>
      </c>
      <c r="U38" s="9">
        <v>2.869163898933531</v>
      </c>
      <c r="V38" s="9">
        <v>3.160929373957381</v>
      </c>
      <c r="W38" s="9">
        <v>2.778510658817295</v>
      </c>
      <c r="X38" s="9">
        <v>2.827788715833085</v>
      </c>
      <c r="Y38" s="9">
        <v>2.588869000271997</v>
      </c>
      <c r="Z38" s="9">
        <v>3.015876045102995</v>
      </c>
      <c r="AA38" s="9">
        <v>2.536529987906889</v>
      </c>
      <c r="AB38" s="9">
        <v>2.875159460607165</v>
      </c>
      <c r="AC38" s="9">
        <v>3.198137280156563</v>
      </c>
      <c r="AD38" s="9">
        <v>2.767274011958115</v>
      </c>
      <c r="AE38" s="9">
        <v>2.675705166009122</v>
      </c>
      <c r="AF38" s="9">
        <v>2.868401181584085</v>
      </c>
      <c r="AG38" s="9">
        <v>3.195439532544118</v>
      </c>
      <c r="AH38" s="9">
        <v>2.579832572446271</v>
      </c>
      <c r="AI38" s="9">
        <v>2.731904449366048</v>
      </c>
      <c r="AJ38" s="9">
        <v>2.842538921401665</v>
      </c>
      <c r="AK38" s="9">
        <v>2.77186359801902</v>
      </c>
      <c r="AL38" s="9">
        <v>2.844469899009903</v>
      </c>
      <c r="AM38" s="9">
        <v>2.885506725426412</v>
      </c>
      <c r="AN38" s="9">
        <v>3.072911481663371</v>
      </c>
      <c r="AO38" s="9">
        <v>2.601637940553417</v>
      </c>
      <c r="AP38" s="9">
        <v>2.652845446859333</v>
      </c>
      <c r="AQ38" s="9">
        <v>2.614454998327372</v>
      </c>
      <c r="AR38" s="9">
        <v>3.075882328088736</v>
      </c>
      <c r="AS38" s="9">
        <v>2.819830614216291</v>
      </c>
      <c r="AT38" s="9">
        <v>3.132816699280333</v>
      </c>
      <c r="AU38" s="9">
        <v>2.465294837321199</v>
      </c>
      <c r="AV38" s="9">
        <v>3.17555187334116</v>
      </c>
      <c r="AW38" s="9">
        <v>2.462357062552379</v>
      </c>
    </row>
    <row r="39" ht="15.0" customHeight="1">
      <c r="A39" s="5" t="s">
        <v>142</v>
      </c>
      <c r="B39" s="5" t="s">
        <v>143</v>
      </c>
      <c r="C39" s="5" t="s">
        <v>79</v>
      </c>
      <c r="D39" s="5" t="s">
        <v>56</v>
      </c>
      <c r="E39" s="5">
        <v>8.5</v>
      </c>
      <c r="F39" s="6"/>
      <c r="G39" s="5"/>
      <c r="H39" s="5">
        <v>2068.0</v>
      </c>
      <c r="I39" s="5" t="b">
        <v>1</v>
      </c>
      <c r="J39" s="5" t="b">
        <v>1</v>
      </c>
      <c r="K39" s="7">
        <v>73.02</v>
      </c>
      <c r="L39" s="8">
        <v>0.1220077878162768</v>
      </c>
      <c r="M39" s="9">
        <f t="shared" si="1"/>
        <v>3.665541934</v>
      </c>
      <c r="N39" s="7">
        <f t="shared" si="2"/>
        <v>124.6284257</v>
      </c>
      <c r="O39" s="9">
        <f t="shared" si="3"/>
        <v>14.66216773</v>
      </c>
      <c r="P39" s="9">
        <v>3.340409412917445</v>
      </c>
      <c r="Q39" s="9">
        <v>4.302693443224076</v>
      </c>
      <c r="R39" s="9">
        <v>0.0</v>
      </c>
      <c r="S39" s="9">
        <v>3.607494935709237</v>
      </c>
      <c r="T39" s="9">
        <v>7.511770897580248</v>
      </c>
      <c r="U39" s="9">
        <v>4.052667764308149</v>
      </c>
      <c r="V39" s="9">
        <v>3.42031655738712</v>
      </c>
      <c r="W39" s="9">
        <v>3.621350760848904</v>
      </c>
      <c r="X39" s="9">
        <v>3.650025331103035</v>
      </c>
      <c r="Y39" s="9">
        <v>3.127610028662344</v>
      </c>
      <c r="Z39" s="9">
        <v>3.549682786712713</v>
      </c>
      <c r="AA39" s="9">
        <v>3.64449038148284</v>
      </c>
      <c r="AB39" s="9">
        <v>4.231890540304382</v>
      </c>
      <c r="AC39" s="9">
        <v>3.304521931477324</v>
      </c>
      <c r="AD39" s="9">
        <v>3.796641142750512</v>
      </c>
      <c r="AE39" s="9">
        <v>3.945625536166814</v>
      </c>
      <c r="AF39" s="9">
        <v>3.004405501165053</v>
      </c>
      <c r="AG39" s="9">
        <v>4.187388471602371</v>
      </c>
      <c r="AH39" s="9">
        <v>3.217622586988631</v>
      </c>
      <c r="AI39" s="9">
        <v>3.813454882630664</v>
      </c>
      <c r="AJ39" s="9">
        <v>4.168946336043514</v>
      </c>
      <c r="AK39" s="9">
        <v>3.045039287646902</v>
      </c>
      <c r="AL39" s="9">
        <v>4.091998230968887</v>
      </c>
      <c r="AM39" s="9">
        <v>3.52013327673468</v>
      </c>
      <c r="AN39" s="9">
        <v>3.530218406151262</v>
      </c>
      <c r="AO39" s="9">
        <v>3.654785765180188</v>
      </c>
      <c r="AP39" s="9">
        <v>4.4207003785157</v>
      </c>
      <c r="AQ39" s="9">
        <v>3.213464104699554</v>
      </c>
      <c r="AR39" s="9">
        <v>3.673206285596973</v>
      </c>
      <c r="AS39" s="9">
        <v>3.765688561180059</v>
      </c>
      <c r="AT39" s="9">
        <v>3.439711007255464</v>
      </c>
      <c r="AU39" s="9">
        <v>3.700257378606477</v>
      </c>
      <c r="AV39" s="9">
        <v>3.366232892862327</v>
      </c>
      <c r="AW39" s="9">
        <v>3.707980940928959</v>
      </c>
    </row>
    <row r="40" ht="15.0" customHeight="1">
      <c r="A40" s="5" t="s">
        <v>144</v>
      </c>
      <c r="B40" s="5" t="s">
        <v>145</v>
      </c>
      <c r="C40" s="5" t="s">
        <v>124</v>
      </c>
      <c r="D40" s="5" t="s">
        <v>52</v>
      </c>
      <c r="E40" s="5">
        <v>7.5</v>
      </c>
      <c r="F40" s="6">
        <v>0.8888888889</v>
      </c>
      <c r="G40" s="5">
        <v>87.0</v>
      </c>
      <c r="H40" s="5">
        <v>2534.0</v>
      </c>
      <c r="I40" s="5" t="b">
        <v>1</v>
      </c>
      <c r="J40" s="5" t="b">
        <v>0</v>
      </c>
      <c r="K40" s="7">
        <v>79.88333333404499</v>
      </c>
      <c r="L40" s="8">
        <v>0.04355283439878746</v>
      </c>
      <c r="M40" s="9">
        <f t="shared" si="1"/>
        <v>3.140623759</v>
      </c>
      <c r="N40" s="7">
        <f t="shared" si="2"/>
        <v>106.7812078</v>
      </c>
      <c r="O40" s="9">
        <f t="shared" si="3"/>
        <v>14.23749438</v>
      </c>
      <c r="P40" s="9">
        <v>2.797914496123036</v>
      </c>
      <c r="Q40" s="9">
        <v>3.06162387129169</v>
      </c>
      <c r="R40" s="9">
        <v>2.999599816041404</v>
      </c>
      <c r="S40" s="9">
        <v>2.915560405419711</v>
      </c>
      <c r="T40" s="9">
        <v>3.701561847422629</v>
      </c>
      <c r="U40" s="9">
        <v>3.073019726330816</v>
      </c>
      <c r="V40" s="9">
        <v>2.623020010163837</v>
      </c>
      <c r="W40" s="9">
        <v>3.657156917359781</v>
      </c>
      <c r="X40" s="9">
        <v>2.614638852287318</v>
      </c>
      <c r="Y40" s="9">
        <v>3.638176073149678</v>
      </c>
      <c r="Z40" s="9">
        <v>3.091857721043798</v>
      </c>
      <c r="AA40" s="9">
        <v>3.189761942911364</v>
      </c>
      <c r="AB40" s="9">
        <v>3.619226099671552</v>
      </c>
      <c r="AC40" s="9">
        <v>3.122716060003322</v>
      </c>
      <c r="AD40" s="9">
        <v>2.79207853938855</v>
      </c>
      <c r="AE40" s="9">
        <v>3.575664980464676</v>
      </c>
      <c r="AF40" s="9">
        <v>3.234006075109874</v>
      </c>
      <c r="AG40" s="9">
        <v>3.177566529427091</v>
      </c>
      <c r="AH40" s="9">
        <v>2.912554251095257</v>
      </c>
      <c r="AI40" s="9">
        <v>2.7276971890801</v>
      </c>
      <c r="AJ40" s="9">
        <v>3.501874086255236</v>
      </c>
      <c r="AK40" s="9">
        <v>3.176606162477958</v>
      </c>
      <c r="AL40" s="9">
        <v>3.548160445605325</v>
      </c>
      <c r="AM40" s="9">
        <v>3.131772333911568</v>
      </c>
      <c r="AN40" s="9">
        <v>2.615088185944911</v>
      </c>
      <c r="AO40" s="9">
        <v>3.155795770184742</v>
      </c>
      <c r="AP40" s="9">
        <v>3.406265145241751</v>
      </c>
      <c r="AQ40" s="9">
        <v>3.205243286344791</v>
      </c>
      <c r="AR40" s="9">
        <v>3.145375996310209</v>
      </c>
      <c r="AS40" s="9">
        <v>3.223909033730298</v>
      </c>
      <c r="AT40" s="9">
        <v>2.857574523606097</v>
      </c>
      <c r="AU40" s="9">
        <v>2.925457926287789</v>
      </c>
      <c r="AV40" s="9">
        <v>3.539604625168731</v>
      </c>
      <c r="AW40" s="9">
        <v>2.823078896575637</v>
      </c>
    </row>
    <row r="41" ht="15.0" customHeight="1">
      <c r="A41" s="5" t="s">
        <v>146</v>
      </c>
      <c r="B41" s="5" t="s">
        <v>147</v>
      </c>
      <c r="C41" s="5" t="s">
        <v>64</v>
      </c>
      <c r="D41" s="5" t="s">
        <v>52</v>
      </c>
      <c r="E41" s="5">
        <v>7.5</v>
      </c>
      <c r="F41" s="6">
        <v>1.0</v>
      </c>
      <c r="G41" s="5">
        <v>90.0</v>
      </c>
      <c r="H41" s="5">
        <v>3358.0</v>
      </c>
      <c r="I41" s="5" t="b">
        <v>1</v>
      </c>
      <c r="J41" s="5" t="b">
        <v>0</v>
      </c>
      <c r="K41" s="7">
        <v>90.0</v>
      </c>
      <c r="L41" s="8">
        <v>0.07835634328650062</v>
      </c>
      <c r="M41" s="9">
        <f t="shared" si="1"/>
        <v>2.9720297</v>
      </c>
      <c r="N41" s="7">
        <f t="shared" si="2"/>
        <v>101.0490098</v>
      </c>
      <c r="O41" s="9">
        <f t="shared" si="3"/>
        <v>13.4732013</v>
      </c>
      <c r="P41" s="9">
        <v>3.23692502073198</v>
      </c>
      <c r="Q41" s="9">
        <v>3.03426904937674</v>
      </c>
      <c r="R41" s="9">
        <v>3.236338522495743</v>
      </c>
      <c r="S41" s="9">
        <v>2.9942090525809</v>
      </c>
      <c r="T41" s="9">
        <v>2.816722341853576</v>
      </c>
      <c r="U41" s="9">
        <v>3.015942861623865</v>
      </c>
      <c r="V41" s="9">
        <v>3.364407241393727</v>
      </c>
      <c r="W41" s="9">
        <v>2.717312523459663</v>
      </c>
      <c r="X41" s="9">
        <v>3.289800084231638</v>
      </c>
      <c r="Y41" s="9">
        <v>2.974058652350827</v>
      </c>
      <c r="Z41" s="9">
        <v>2.755336902969271</v>
      </c>
      <c r="AA41" s="9">
        <v>2.73899563989748</v>
      </c>
      <c r="AB41" s="9">
        <v>2.79562964020777</v>
      </c>
      <c r="AC41" s="9">
        <v>2.817562543717259</v>
      </c>
      <c r="AD41" s="9">
        <v>2.874729456470233</v>
      </c>
      <c r="AE41" s="9">
        <v>2.672001977790505</v>
      </c>
      <c r="AF41" s="9">
        <v>3.293523099971408</v>
      </c>
      <c r="AG41" s="9">
        <v>3.339289448255803</v>
      </c>
      <c r="AH41" s="9">
        <v>2.916279826963658</v>
      </c>
      <c r="AI41" s="9">
        <v>3.36350414500655</v>
      </c>
      <c r="AJ41" s="9">
        <v>2.714494925088563</v>
      </c>
      <c r="AK41" s="9">
        <v>2.595295250318857</v>
      </c>
      <c r="AL41" s="9">
        <v>3.172449455717662</v>
      </c>
      <c r="AM41" s="9">
        <v>2.917017263943595</v>
      </c>
      <c r="AN41" s="9">
        <v>2.967361266037927</v>
      </c>
      <c r="AO41" s="9">
        <v>2.924164154636269</v>
      </c>
      <c r="AP41" s="9">
        <v>2.97591333124083</v>
      </c>
      <c r="AQ41" s="9">
        <v>3.021167093024763</v>
      </c>
      <c r="AR41" s="9">
        <v>3.027594760799216</v>
      </c>
      <c r="AS41" s="9">
        <v>2.596582355754367</v>
      </c>
      <c r="AT41" s="9">
        <v>3.326968153822982</v>
      </c>
      <c r="AU41" s="9">
        <v>2.981081665994463</v>
      </c>
      <c r="AV41" s="9">
        <v>2.580103671489197</v>
      </c>
      <c r="AW41" s="9">
        <v>3.001978407531339</v>
      </c>
    </row>
    <row r="42" ht="15.0" customHeight="1">
      <c r="A42" s="5" t="s">
        <v>148</v>
      </c>
      <c r="B42" s="5" t="s">
        <v>149</v>
      </c>
      <c r="C42" s="5" t="s">
        <v>67</v>
      </c>
      <c r="D42" s="5" t="s">
        <v>56</v>
      </c>
      <c r="E42" s="5">
        <v>6.0</v>
      </c>
      <c r="F42" s="6"/>
      <c r="G42" s="10"/>
      <c r="H42" s="5">
        <v>1063.0</v>
      </c>
      <c r="I42" s="5" t="b">
        <v>0</v>
      </c>
      <c r="J42" s="5" t="b">
        <v>0</v>
      </c>
      <c r="K42" s="7">
        <v>23.98</v>
      </c>
      <c r="L42" s="8">
        <v>0.1286198638775973</v>
      </c>
      <c r="M42" s="9">
        <f t="shared" si="1"/>
        <v>1.542766626</v>
      </c>
      <c r="N42" s="7">
        <f t="shared" si="2"/>
        <v>52.45406527</v>
      </c>
      <c r="O42" s="9">
        <f t="shared" si="3"/>
        <v>8.742344212</v>
      </c>
      <c r="P42" s="9">
        <v>1.643063911836586</v>
      </c>
      <c r="Q42" s="9">
        <v>1.433072685013222</v>
      </c>
      <c r="R42" s="9">
        <v>1.534599377023127</v>
      </c>
      <c r="S42" s="9">
        <v>1.735614138180666</v>
      </c>
      <c r="T42" s="9">
        <v>1.463950243395518</v>
      </c>
      <c r="U42" s="9">
        <v>1.688133581871622</v>
      </c>
      <c r="V42" s="9">
        <v>1.694299132814218</v>
      </c>
      <c r="W42" s="9">
        <v>1.37945436752827</v>
      </c>
      <c r="X42" s="9">
        <v>1.531115012585422</v>
      </c>
      <c r="Y42" s="9">
        <v>1.454495530303389</v>
      </c>
      <c r="Z42" s="9">
        <v>1.432026939440018</v>
      </c>
      <c r="AA42" s="9">
        <v>1.554442252495546</v>
      </c>
      <c r="AB42" s="9">
        <v>1.488921902638546</v>
      </c>
      <c r="AC42" s="9">
        <v>1.556384519059794</v>
      </c>
      <c r="AD42" s="9">
        <v>1.484044724215109</v>
      </c>
      <c r="AE42" s="9">
        <v>1.570896421293017</v>
      </c>
      <c r="AF42" s="9">
        <v>1.516576824206149</v>
      </c>
      <c r="AG42" s="9">
        <v>1.582908356353165</v>
      </c>
      <c r="AH42" s="9">
        <v>1.578680156537371</v>
      </c>
      <c r="AI42" s="9">
        <v>1.541810254170668</v>
      </c>
      <c r="AJ42" s="9">
        <v>1.470444148613774</v>
      </c>
      <c r="AK42" s="9">
        <v>1.442563275698638</v>
      </c>
      <c r="AL42" s="9">
        <v>1.676942517894807</v>
      </c>
      <c r="AM42" s="9">
        <v>1.454925514602518</v>
      </c>
      <c r="AN42" s="9">
        <v>1.367471955522744</v>
      </c>
      <c r="AO42" s="9">
        <v>1.616145693014631</v>
      </c>
      <c r="AP42" s="9">
        <v>1.652954458084797</v>
      </c>
      <c r="AQ42" s="9">
        <v>1.389672663382863</v>
      </c>
      <c r="AR42" s="9">
        <v>1.543007374301679</v>
      </c>
      <c r="AS42" s="9">
        <v>1.672304820706161</v>
      </c>
      <c r="AT42" s="9">
        <v>1.547639635868008</v>
      </c>
      <c r="AU42" s="9">
        <v>1.540418364375099</v>
      </c>
      <c r="AV42" s="9">
        <v>1.705938592726828</v>
      </c>
      <c r="AW42" s="9">
        <v>1.509145923434726</v>
      </c>
    </row>
    <row r="43" ht="15.0" customHeight="1">
      <c r="A43" s="5" t="s">
        <v>150</v>
      </c>
      <c r="B43" s="5" t="s">
        <v>151</v>
      </c>
      <c r="C43" s="5" t="s">
        <v>141</v>
      </c>
      <c r="D43" s="5" t="s">
        <v>52</v>
      </c>
      <c r="E43" s="5">
        <v>7.0</v>
      </c>
      <c r="F43" s="6">
        <v>1.0</v>
      </c>
      <c r="G43" s="5">
        <v>87.0</v>
      </c>
      <c r="H43" s="5">
        <v>2273.0</v>
      </c>
      <c r="I43" s="5" t="b">
        <v>1</v>
      </c>
      <c r="J43" s="5" t="b">
        <v>0</v>
      </c>
      <c r="K43" s="7">
        <v>87.0</v>
      </c>
      <c r="L43" s="8">
        <v>0.05918790927882489</v>
      </c>
      <c r="M43" s="9">
        <f t="shared" si="1"/>
        <v>1.448105186</v>
      </c>
      <c r="N43" s="7">
        <f t="shared" si="2"/>
        <v>49.23557632</v>
      </c>
      <c r="O43" s="9">
        <f t="shared" si="3"/>
        <v>7.03365376</v>
      </c>
      <c r="P43" s="9">
        <v>0.0</v>
      </c>
      <c r="Q43" s="9">
        <v>0.0</v>
      </c>
      <c r="R43" s="9">
        <v>0.0</v>
      </c>
      <c r="S43" s="9">
        <v>0.0</v>
      </c>
      <c r="T43" s="9">
        <v>0.0</v>
      </c>
      <c r="U43" s="9">
        <v>0.0</v>
      </c>
      <c r="V43" s="9">
        <v>0.0</v>
      </c>
      <c r="W43" s="9">
        <v>0.0</v>
      </c>
      <c r="X43" s="9">
        <v>0.0</v>
      </c>
      <c r="Y43" s="9">
        <v>0.0</v>
      </c>
      <c r="Z43" s="9">
        <v>0.0</v>
      </c>
      <c r="AA43" s="9">
        <v>0.0</v>
      </c>
      <c r="AB43" s="9">
        <v>0.0</v>
      </c>
      <c r="AC43" s="9">
        <v>0.0</v>
      </c>
      <c r="AD43" s="9">
        <v>0.0</v>
      </c>
      <c r="AE43" s="9">
        <v>0.0</v>
      </c>
      <c r="AF43" s="9">
        <v>0.0</v>
      </c>
      <c r="AG43" s="9">
        <v>3.327947926626144</v>
      </c>
      <c r="AH43" s="9">
        <v>2.626732214629469</v>
      </c>
      <c r="AI43" s="9">
        <v>2.794859598157745</v>
      </c>
      <c r="AJ43" s="9">
        <v>2.928592458522407</v>
      </c>
      <c r="AK43" s="9">
        <v>2.841234931014615</v>
      </c>
      <c r="AL43" s="9">
        <v>2.926441176719891</v>
      </c>
      <c r="AM43" s="9">
        <v>2.96372742638939</v>
      </c>
      <c r="AN43" s="9">
        <v>3.193757120743348</v>
      </c>
      <c r="AO43" s="9">
        <v>2.648838726427036</v>
      </c>
      <c r="AP43" s="9">
        <v>2.714403304186642</v>
      </c>
      <c r="AQ43" s="9">
        <v>2.670347148555078</v>
      </c>
      <c r="AR43" s="9">
        <v>3.185096731617147</v>
      </c>
      <c r="AS43" s="9">
        <v>2.895664891507241</v>
      </c>
      <c r="AT43" s="9">
        <v>3.23926651845005</v>
      </c>
      <c r="AU43" s="9">
        <v>2.493995776268196</v>
      </c>
      <c r="AV43" s="9">
        <v>3.290242095251814</v>
      </c>
      <c r="AW43" s="9">
        <v>2.494428277876414</v>
      </c>
    </row>
    <row r="44" ht="15.0" customHeight="1">
      <c r="A44" s="5" t="s">
        <v>152</v>
      </c>
      <c r="B44" s="5" t="s">
        <v>153</v>
      </c>
      <c r="C44" s="5" t="s">
        <v>55</v>
      </c>
      <c r="D44" s="5" t="s">
        <v>83</v>
      </c>
      <c r="E44" s="5">
        <v>6.0</v>
      </c>
      <c r="F44" s="6">
        <v>1.0</v>
      </c>
      <c r="G44" s="5">
        <v>88.0</v>
      </c>
      <c r="H44" s="5">
        <v>2884.0</v>
      </c>
      <c r="I44" s="5" t="b">
        <v>1</v>
      </c>
      <c r="J44" s="5" t="b">
        <v>0</v>
      </c>
      <c r="K44" s="7">
        <v>88.0</v>
      </c>
      <c r="L44" s="8">
        <v>0.08286400279144483</v>
      </c>
      <c r="M44" s="9">
        <f t="shared" si="1"/>
        <v>4.136012382</v>
      </c>
      <c r="N44" s="7">
        <f t="shared" si="2"/>
        <v>140.624421</v>
      </c>
      <c r="O44" s="9">
        <f t="shared" si="3"/>
        <v>23.4374035</v>
      </c>
      <c r="P44" s="9">
        <v>0.0</v>
      </c>
      <c r="Q44" s="9">
        <v>5.002342286259888</v>
      </c>
      <c r="R44" s="9">
        <v>4.480509595536342</v>
      </c>
      <c r="S44" s="9">
        <v>5.110228763945031</v>
      </c>
      <c r="T44" s="9">
        <v>3.579646093187966</v>
      </c>
      <c r="U44" s="9">
        <v>4.272567826704148</v>
      </c>
      <c r="V44" s="9">
        <v>4.373839996046295</v>
      </c>
      <c r="W44" s="9">
        <v>4.15149465411944</v>
      </c>
      <c r="X44" s="9">
        <v>3.968811245145239</v>
      </c>
      <c r="Y44" s="9">
        <v>3.203068278277941</v>
      </c>
      <c r="Z44" s="9">
        <v>4.954833271475797</v>
      </c>
      <c r="AA44" s="9">
        <v>3.657377825444117</v>
      </c>
      <c r="AB44" s="9">
        <v>4.843616026255012</v>
      </c>
      <c r="AC44" s="9">
        <v>4.26939228951114</v>
      </c>
      <c r="AD44" s="9">
        <v>4.503009956732233</v>
      </c>
      <c r="AE44" s="9">
        <v>3.577832838381402</v>
      </c>
      <c r="AF44" s="9">
        <v>3.992862986524818</v>
      </c>
      <c r="AG44" s="9">
        <v>3.740750611211971</v>
      </c>
      <c r="AH44" s="9">
        <v>4.159085793859618</v>
      </c>
      <c r="AI44" s="9">
        <v>4.979546879200472</v>
      </c>
      <c r="AJ44" s="9">
        <v>3.550048988160286</v>
      </c>
      <c r="AK44" s="9">
        <v>4.20061784778394</v>
      </c>
      <c r="AL44" s="9">
        <v>4.662780057476979</v>
      </c>
      <c r="AM44" s="9">
        <v>3.649489419004756</v>
      </c>
      <c r="AN44" s="9">
        <v>4.290596978421647</v>
      </c>
      <c r="AO44" s="9">
        <v>4.282934328488737</v>
      </c>
      <c r="AP44" s="9">
        <v>5.167901146001825</v>
      </c>
      <c r="AQ44" s="9">
        <v>4.260116983769723</v>
      </c>
      <c r="AR44" s="9">
        <v>4.434784987713923</v>
      </c>
      <c r="AS44" s="9">
        <v>4.745238443435775</v>
      </c>
      <c r="AT44" s="9">
        <v>5.196958934162555</v>
      </c>
      <c r="AU44" s="9">
        <v>3.745850548365913</v>
      </c>
      <c r="AV44" s="9">
        <v>3.422070537518064</v>
      </c>
      <c r="AW44" s="9">
        <v>4.194214553956731</v>
      </c>
    </row>
    <row r="45" ht="15.0" customHeight="1">
      <c r="A45" s="5" t="s">
        <v>154</v>
      </c>
      <c r="B45" s="5" t="s">
        <v>155</v>
      </c>
      <c r="C45" s="5" t="s">
        <v>76</v>
      </c>
      <c r="D45" s="5" t="s">
        <v>56</v>
      </c>
      <c r="E45" s="5">
        <v>7.0</v>
      </c>
      <c r="F45" s="6">
        <v>0.7666666667</v>
      </c>
      <c r="G45" s="10">
        <v>85.0</v>
      </c>
      <c r="H45" s="5">
        <v>2311.0</v>
      </c>
      <c r="I45" s="5" t="b">
        <v>1</v>
      </c>
      <c r="J45" s="5" t="b">
        <v>1</v>
      </c>
      <c r="K45" s="7">
        <v>70.762000002034</v>
      </c>
      <c r="L45" s="8">
        <v>0.1352453942358386</v>
      </c>
      <c r="M45" s="9">
        <f t="shared" si="1"/>
        <v>4.129359113</v>
      </c>
      <c r="N45" s="7">
        <f t="shared" si="2"/>
        <v>140.3982098</v>
      </c>
      <c r="O45" s="9">
        <f t="shared" si="3"/>
        <v>20.05688712</v>
      </c>
      <c r="P45" s="9">
        <v>3.74115934807195</v>
      </c>
      <c r="Q45" s="9">
        <v>3.638061638965389</v>
      </c>
      <c r="R45" s="9">
        <v>4.894912329922544</v>
      </c>
      <c r="S45" s="9">
        <v>4.147298228810473</v>
      </c>
      <c r="T45" s="9">
        <v>4.003561216109096</v>
      </c>
      <c r="U45" s="9">
        <v>4.841504367690963</v>
      </c>
      <c r="V45" s="9">
        <v>3.899125646100477</v>
      </c>
      <c r="W45" s="9">
        <v>3.443717950083756</v>
      </c>
      <c r="X45" s="9">
        <v>4.651793260560151</v>
      </c>
      <c r="Y45" s="9">
        <v>3.991924087519819</v>
      </c>
      <c r="Z45" s="9">
        <v>4.275267840765963</v>
      </c>
      <c r="AA45" s="9">
        <v>3.814339994834103</v>
      </c>
      <c r="AB45" s="9">
        <v>3.686407889838246</v>
      </c>
      <c r="AC45" s="9">
        <v>4.108717916281567</v>
      </c>
      <c r="AD45" s="9">
        <v>4.740582898894622</v>
      </c>
      <c r="AE45" s="9">
        <v>5.031079336183987</v>
      </c>
      <c r="AF45" s="9">
        <v>3.642860069519456</v>
      </c>
      <c r="AG45" s="9">
        <v>3.53899549102723</v>
      </c>
      <c r="AH45" s="9">
        <v>4.482895291975819</v>
      </c>
      <c r="AI45" s="9">
        <v>3.341849429051861</v>
      </c>
      <c r="AJ45" s="9">
        <v>4.135418489938209</v>
      </c>
      <c r="AK45" s="9">
        <v>4.168553480569472</v>
      </c>
      <c r="AL45" s="9">
        <v>4.813213578053693</v>
      </c>
      <c r="AM45" s="9">
        <v>4.026020967506217</v>
      </c>
      <c r="AN45" s="9">
        <v>3.396831035813619</v>
      </c>
      <c r="AO45" s="9">
        <v>4.76186309214692</v>
      </c>
      <c r="AP45" s="9">
        <v>4.208679602806511</v>
      </c>
      <c r="AQ45" s="9">
        <v>4.199767462545204</v>
      </c>
      <c r="AR45" s="9">
        <v>3.743132342126697</v>
      </c>
      <c r="AS45" s="9">
        <v>4.606410233818345</v>
      </c>
      <c r="AT45" s="9">
        <v>4.141805212190824</v>
      </c>
      <c r="AU45" s="9">
        <v>4.092729820125286</v>
      </c>
      <c r="AV45" s="9">
        <v>4.310983710838312</v>
      </c>
      <c r="AW45" s="9">
        <v>3.876746587021163</v>
      </c>
    </row>
    <row r="46" ht="15.0" customHeight="1">
      <c r="A46" s="5" t="s">
        <v>156</v>
      </c>
      <c r="B46" s="5" t="s">
        <v>157</v>
      </c>
      <c r="C46" s="5" t="s">
        <v>82</v>
      </c>
      <c r="D46" s="5" t="s">
        <v>52</v>
      </c>
      <c r="E46" s="5">
        <v>6.0</v>
      </c>
      <c r="F46" s="6">
        <v>0.9032258065</v>
      </c>
      <c r="G46" s="5">
        <v>80.0</v>
      </c>
      <c r="H46" s="5">
        <v>2406.0</v>
      </c>
      <c r="I46" s="5" t="b">
        <v>1</v>
      </c>
      <c r="J46" s="5" t="b">
        <v>0</v>
      </c>
      <c r="K46" s="7">
        <v>74.479032260825</v>
      </c>
      <c r="L46" s="8">
        <v>0.07985438711100354</v>
      </c>
      <c r="M46" s="9">
        <f t="shared" si="1"/>
        <v>3.715676513</v>
      </c>
      <c r="N46" s="7">
        <f t="shared" si="2"/>
        <v>126.3330014</v>
      </c>
      <c r="O46" s="9">
        <f t="shared" si="3"/>
        <v>21.05550024</v>
      </c>
      <c r="P46" s="9">
        <v>3.349362607643241</v>
      </c>
      <c r="Q46" s="9">
        <v>4.079015956810662</v>
      </c>
      <c r="R46" s="9">
        <v>0.0</v>
      </c>
      <c r="S46" s="9">
        <v>3.741463995314263</v>
      </c>
      <c r="T46" s="9">
        <v>7.398295352616318</v>
      </c>
      <c r="U46" s="9">
        <v>3.390133739902388</v>
      </c>
      <c r="V46" s="9">
        <v>3.202113739294723</v>
      </c>
      <c r="W46" s="9">
        <v>4.249967438995932</v>
      </c>
      <c r="X46" s="9">
        <v>3.453053139339071</v>
      </c>
      <c r="Y46" s="9">
        <v>3.863856833506224</v>
      </c>
      <c r="Z46" s="9">
        <v>3.767289349262302</v>
      </c>
      <c r="AA46" s="9">
        <v>3.721415383878199</v>
      </c>
      <c r="AB46" s="9">
        <v>4.409425873524158</v>
      </c>
      <c r="AC46" s="9">
        <v>3.644985480173074</v>
      </c>
      <c r="AD46" s="9">
        <v>3.770586231756303</v>
      </c>
      <c r="AE46" s="9">
        <v>3.087603702162095</v>
      </c>
      <c r="AF46" s="9">
        <v>4.408820916233134</v>
      </c>
      <c r="AG46" s="9">
        <v>3.679095694698449</v>
      </c>
      <c r="AH46" s="9">
        <v>3.823497080013876</v>
      </c>
      <c r="AI46" s="9">
        <v>3.286792930038141</v>
      </c>
      <c r="AJ46" s="9">
        <v>3.542252339659567</v>
      </c>
      <c r="AK46" s="9">
        <v>3.878608050328808</v>
      </c>
      <c r="AL46" s="9">
        <v>3.072715384170464</v>
      </c>
      <c r="AM46" s="9">
        <v>4.505784167886536</v>
      </c>
      <c r="AN46" s="9">
        <v>3.309388524197327</v>
      </c>
      <c r="AO46" s="9">
        <v>3.467558693308304</v>
      </c>
      <c r="AP46" s="9">
        <v>4.314747729258638</v>
      </c>
      <c r="AQ46" s="9">
        <v>3.757105527245724</v>
      </c>
      <c r="AR46" s="9">
        <v>3.41810357791976</v>
      </c>
      <c r="AS46" s="9">
        <v>3.792015480781543</v>
      </c>
      <c r="AT46" s="9">
        <v>3.628159370356615</v>
      </c>
      <c r="AU46" s="9">
        <v>3.798839128048491</v>
      </c>
      <c r="AV46" s="9">
        <v>3.306009925995884</v>
      </c>
      <c r="AW46" s="9">
        <v>4.214938083251697</v>
      </c>
    </row>
    <row r="47" ht="15.0" customHeight="1">
      <c r="A47" s="5" t="s">
        <v>158</v>
      </c>
      <c r="B47" s="5" t="s">
        <v>159</v>
      </c>
      <c r="C47" s="5" t="s">
        <v>136</v>
      </c>
      <c r="D47" s="5" t="s">
        <v>52</v>
      </c>
      <c r="E47" s="5">
        <v>5.5</v>
      </c>
      <c r="F47" s="6">
        <v>0.8823529412</v>
      </c>
      <c r="G47" s="5">
        <v>79.0</v>
      </c>
      <c r="H47" s="5">
        <v>2606.0</v>
      </c>
      <c r="I47" s="5" t="b">
        <v>1</v>
      </c>
      <c r="J47" s="5" t="b">
        <v>0</v>
      </c>
      <c r="K47" s="7">
        <v>72.40588235426</v>
      </c>
      <c r="L47" s="8">
        <v>0.07942611997861751</v>
      </c>
      <c r="M47" s="9">
        <f t="shared" si="1"/>
        <v>3.334344132</v>
      </c>
      <c r="N47" s="7">
        <f t="shared" si="2"/>
        <v>113.3677005</v>
      </c>
      <c r="O47" s="9">
        <f t="shared" si="3"/>
        <v>20.61230918</v>
      </c>
      <c r="P47" s="9">
        <v>3.379691696656721</v>
      </c>
      <c r="Q47" s="9">
        <v>3.130421226948555</v>
      </c>
      <c r="R47" s="9">
        <v>3.040358339050551</v>
      </c>
      <c r="S47" s="9">
        <v>3.614886594635323</v>
      </c>
      <c r="T47" s="9">
        <v>3.40918743771798</v>
      </c>
      <c r="U47" s="9">
        <v>3.377697105752956</v>
      </c>
      <c r="V47" s="9">
        <v>3.003219151189184</v>
      </c>
      <c r="W47" s="9">
        <v>3.365707582329646</v>
      </c>
      <c r="X47" s="9">
        <v>3.072893354999741</v>
      </c>
      <c r="Y47" s="9">
        <v>3.338172817254129</v>
      </c>
      <c r="Z47" s="9">
        <v>3.115834772040423</v>
      </c>
      <c r="AA47" s="9">
        <v>3.918873649707928</v>
      </c>
      <c r="AB47" s="9">
        <v>2.83961232338595</v>
      </c>
      <c r="AC47" s="9">
        <v>3.755757384345402</v>
      </c>
      <c r="AD47" s="9">
        <v>3.32425346843068</v>
      </c>
      <c r="AE47" s="9">
        <v>3.386038866716294</v>
      </c>
      <c r="AF47" s="9">
        <v>3.267720218726697</v>
      </c>
      <c r="AG47" s="9">
        <v>3.204823236171572</v>
      </c>
      <c r="AH47" s="9">
        <v>3.132855994263752</v>
      </c>
      <c r="AI47" s="9">
        <v>3.788615843975701</v>
      </c>
      <c r="AJ47" s="9">
        <v>3.022851708279254</v>
      </c>
      <c r="AK47" s="9">
        <v>3.352217128631741</v>
      </c>
      <c r="AL47" s="9">
        <v>2.825876417224314</v>
      </c>
      <c r="AM47" s="9">
        <v>3.444976770396482</v>
      </c>
      <c r="AN47" s="9">
        <v>3.434577661227483</v>
      </c>
      <c r="AO47" s="9">
        <v>3.40138793898842</v>
      </c>
      <c r="AP47" s="9">
        <v>2.939748624291593</v>
      </c>
      <c r="AQ47" s="9">
        <v>3.853268185280236</v>
      </c>
      <c r="AR47" s="9">
        <v>3.013456497890478</v>
      </c>
      <c r="AS47" s="9">
        <v>3.8720576810641</v>
      </c>
      <c r="AT47" s="9">
        <v>3.832935033412623</v>
      </c>
      <c r="AU47" s="9">
        <v>2.840928541858246</v>
      </c>
      <c r="AV47" s="9">
        <v>3.759631983297824</v>
      </c>
      <c r="AW47" s="9">
        <v>3.307165242784218</v>
      </c>
    </row>
    <row r="48" ht="15.0" customHeight="1">
      <c r="A48" s="5" t="s">
        <v>160</v>
      </c>
      <c r="B48" s="5" t="s">
        <v>161</v>
      </c>
      <c r="C48" s="5" t="s">
        <v>59</v>
      </c>
      <c r="D48" s="5" t="s">
        <v>52</v>
      </c>
      <c r="E48" s="5">
        <v>8.0</v>
      </c>
      <c r="F48" s="6">
        <v>0.6666666667</v>
      </c>
      <c r="G48" s="5">
        <v>74.0</v>
      </c>
      <c r="H48" s="5">
        <v>1353.0</v>
      </c>
      <c r="I48" s="5" t="b">
        <v>1</v>
      </c>
      <c r="J48" s="5" t="b">
        <v>0</v>
      </c>
      <c r="K48" s="7">
        <v>56.983333335035</v>
      </c>
      <c r="L48" s="8">
        <v>0.08943033357055122</v>
      </c>
      <c r="M48" s="9">
        <f t="shared" si="1"/>
        <v>3.081637013</v>
      </c>
      <c r="N48" s="7">
        <f t="shared" si="2"/>
        <v>104.7756584</v>
      </c>
      <c r="O48" s="9">
        <f t="shared" si="3"/>
        <v>13.09695731</v>
      </c>
      <c r="P48" s="9">
        <v>3.131919122207459</v>
      </c>
      <c r="Q48" s="9">
        <v>3.214017698674478</v>
      </c>
      <c r="R48" s="9">
        <v>0.0</v>
      </c>
      <c r="S48" s="9">
        <v>3.034689019815938</v>
      </c>
      <c r="T48" s="9">
        <v>2.794987440480394</v>
      </c>
      <c r="U48" s="9">
        <v>6.812893876294167</v>
      </c>
      <c r="V48" s="9">
        <v>3.554966088124953</v>
      </c>
      <c r="W48" s="9">
        <v>3.15730590526331</v>
      </c>
      <c r="X48" s="9">
        <v>2.635852907707299</v>
      </c>
      <c r="Y48" s="9">
        <v>2.887131303734349</v>
      </c>
      <c r="Z48" s="9">
        <v>2.971789489541284</v>
      </c>
      <c r="AA48" s="9">
        <v>2.378860720191919</v>
      </c>
      <c r="AB48" s="9">
        <v>3.594634278741458</v>
      </c>
      <c r="AC48" s="9">
        <v>2.398016893737752</v>
      </c>
      <c r="AD48" s="9">
        <v>3.113821923083592</v>
      </c>
      <c r="AE48" s="9">
        <v>3.69438407213349</v>
      </c>
      <c r="AF48" s="9">
        <v>3.19978056216573</v>
      </c>
      <c r="AG48" s="9">
        <v>3.149171328055005</v>
      </c>
      <c r="AH48" s="9">
        <v>3.107470432828931</v>
      </c>
      <c r="AI48" s="9">
        <v>3.630467245510331</v>
      </c>
      <c r="AJ48" s="9">
        <v>2.716857994939599</v>
      </c>
      <c r="AK48" s="9">
        <v>2.987964843495717</v>
      </c>
      <c r="AL48" s="9">
        <v>3.835689790911493</v>
      </c>
      <c r="AM48" s="9">
        <v>2.793526208873748</v>
      </c>
      <c r="AN48" s="9">
        <v>3.033414768670927</v>
      </c>
      <c r="AO48" s="9">
        <v>3.74357758703298</v>
      </c>
      <c r="AP48" s="9">
        <v>2.672917594000796</v>
      </c>
      <c r="AQ48" s="9">
        <v>2.766156675357216</v>
      </c>
      <c r="AR48" s="9">
        <v>2.645546305353479</v>
      </c>
      <c r="AS48" s="9">
        <v>2.398536872403211</v>
      </c>
      <c r="AT48" s="9">
        <v>3.652972048401784</v>
      </c>
      <c r="AU48" s="9">
        <v>2.534482389161061</v>
      </c>
      <c r="AV48" s="9">
        <v>3.422975750999949</v>
      </c>
      <c r="AW48" s="9">
        <v>3.108879304242344</v>
      </c>
    </row>
    <row r="49" ht="15.0" customHeight="1">
      <c r="A49" s="5" t="s">
        <v>162</v>
      </c>
      <c r="B49" s="5" t="s">
        <v>163</v>
      </c>
      <c r="C49" s="5" t="s">
        <v>124</v>
      </c>
      <c r="D49" s="5" t="s">
        <v>103</v>
      </c>
      <c r="E49" s="5">
        <v>5.0</v>
      </c>
      <c r="F49" s="6">
        <v>1.0</v>
      </c>
      <c r="G49" s="10">
        <v>89.0</v>
      </c>
      <c r="H49" s="5">
        <v>3390.0</v>
      </c>
      <c r="I49" s="5" t="b">
        <v>1</v>
      </c>
      <c r="J49" s="5" t="b">
        <v>0</v>
      </c>
      <c r="K49" s="7">
        <v>89.0</v>
      </c>
      <c r="L49" s="8">
        <v>0.07630357207952708</v>
      </c>
      <c r="M49" s="9">
        <f t="shared" si="1"/>
        <v>4.004482217</v>
      </c>
      <c r="N49" s="7">
        <f t="shared" si="2"/>
        <v>136.1523954</v>
      </c>
      <c r="O49" s="9">
        <f t="shared" si="3"/>
        <v>27.23047908</v>
      </c>
      <c r="P49" s="9">
        <v>3.818183383128164</v>
      </c>
      <c r="Q49" s="9">
        <v>3.97515663963129</v>
      </c>
      <c r="R49" s="9">
        <v>3.961154975373706</v>
      </c>
      <c r="S49" s="9">
        <v>3.847046710159032</v>
      </c>
      <c r="T49" s="9">
        <v>4.186111491290426</v>
      </c>
      <c r="U49" s="9">
        <v>3.974890078079843</v>
      </c>
      <c r="V49" s="9">
        <v>3.781531051738076</v>
      </c>
      <c r="W49" s="9">
        <v>4.337862724396632</v>
      </c>
      <c r="X49" s="9">
        <v>3.809514990701567</v>
      </c>
      <c r="Y49" s="9">
        <v>4.200206614095059</v>
      </c>
      <c r="Z49" s="9">
        <v>3.886705318590447</v>
      </c>
      <c r="AA49" s="9">
        <v>3.955621968688764</v>
      </c>
      <c r="AB49" s="9">
        <v>4.336501987837885</v>
      </c>
      <c r="AC49" s="9">
        <v>4.096693432647315</v>
      </c>
      <c r="AD49" s="9">
        <v>3.845997142599004</v>
      </c>
      <c r="AE49" s="9">
        <v>4.212908361912512</v>
      </c>
      <c r="AF49" s="9">
        <v>3.982442322393649</v>
      </c>
      <c r="AG49" s="9">
        <v>3.99305654268841</v>
      </c>
      <c r="AH49" s="9">
        <v>3.951515622233972</v>
      </c>
      <c r="AI49" s="9">
        <v>3.82629829603732</v>
      </c>
      <c r="AJ49" s="9">
        <v>4.176490702211799</v>
      </c>
      <c r="AK49" s="9">
        <v>4.100638118662999</v>
      </c>
      <c r="AL49" s="9">
        <v>4.331629416910691</v>
      </c>
      <c r="AM49" s="9">
        <v>4.002850093674313</v>
      </c>
      <c r="AN49" s="9">
        <v>3.738659774097198</v>
      </c>
      <c r="AO49" s="9">
        <v>3.963756606375849</v>
      </c>
      <c r="AP49" s="9">
        <v>4.158427295856584</v>
      </c>
      <c r="AQ49" s="9">
        <v>4.101741086846817</v>
      </c>
      <c r="AR49" s="9">
        <v>4.002621652287606</v>
      </c>
      <c r="AS49" s="9">
        <v>3.982241127680545</v>
      </c>
      <c r="AT49" s="9">
        <v>3.831504162312917</v>
      </c>
      <c r="AU49" s="9">
        <v>3.911434551013355</v>
      </c>
      <c r="AV49" s="9">
        <v>4.058583746578667</v>
      </c>
      <c r="AW49" s="9">
        <v>3.812417392534609</v>
      </c>
    </row>
    <row r="50" ht="15.0" customHeight="1">
      <c r="A50" s="5" t="s">
        <v>164</v>
      </c>
      <c r="B50" s="5" t="s">
        <v>165</v>
      </c>
      <c r="C50" s="5" t="s">
        <v>64</v>
      </c>
      <c r="D50" s="5" t="s">
        <v>52</v>
      </c>
      <c r="E50" s="5">
        <v>6.5</v>
      </c>
      <c r="F50" s="6">
        <v>0.8965517241</v>
      </c>
      <c r="G50" s="5">
        <v>86.0</v>
      </c>
      <c r="H50" s="5">
        <v>2542.0</v>
      </c>
      <c r="I50" s="5" t="b">
        <v>1</v>
      </c>
      <c r="J50" s="5" t="b">
        <v>0</v>
      </c>
      <c r="K50" s="7">
        <v>79.47758620450499</v>
      </c>
      <c r="L50" s="8">
        <v>0.07959364679519912</v>
      </c>
      <c r="M50" s="9">
        <f t="shared" si="1"/>
        <v>2.789939541</v>
      </c>
      <c r="N50" s="7">
        <f t="shared" si="2"/>
        <v>94.85794441</v>
      </c>
      <c r="O50" s="9">
        <f t="shared" si="3"/>
        <v>14.59352991</v>
      </c>
      <c r="P50" s="9">
        <v>2.999523032721545</v>
      </c>
      <c r="Q50" s="9">
        <v>2.851066327075491</v>
      </c>
      <c r="R50" s="9">
        <v>3.013810860585635</v>
      </c>
      <c r="S50" s="9">
        <v>2.806147532519498</v>
      </c>
      <c r="T50" s="9">
        <v>2.659376825327809</v>
      </c>
      <c r="U50" s="9">
        <v>2.83699774924043</v>
      </c>
      <c r="V50" s="9">
        <v>3.112287201585678</v>
      </c>
      <c r="W50" s="9">
        <v>2.573674698985871</v>
      </c>
      <c r="X50" s="9">
        <v>3.058703332885506</v>
      </c>
      <c r="Y50" s="9">
        <v>2.786672800994969</v>
      </c>
      <c r="Z50" s="9">
        <v>2.600257332036605</v>
      </c>
      <c r="AA50" s="9">
        <v>2.59500645593486</v>
      </c>
      <c r="AB50" s="9">
        <v>2.63336670293781</v>
      </c>
      <c r="AC50" s="9">
        <v>2.665955989751332</v>
      </c>
      <c r="AD50" s="9">
        <v>2.710802565476151</v>
      </c>
      <c r="AE50" s="9">
        <v>2.536079810808974</v>
      </c>
      <c r="AF50" s="9">
        <v>3.074619475103112</v>
      </c>
      <c r="AG50" s="9">
        <v>3.109918032926029</v>
      </c>
      <c r="AH50" s="9">
        <v>2.731275127700897</v>
      </c>
      <c r="AI50" s="9">
        <v>3.128465637286447</v>
      </c>
      <c r="AJ50" s="9">
        <v>2.567063101598781</v>
      </c>
      <c r="AK50" s="9">
        <v>2.4704319986622</v>
      </c>
      <c r="AL50" s="9">
        <v>2.963091555800246</v>
      </c>
      <c r="AM50" s="9">
        <v>2.744950237833686</v>
      </c>
      <c r="AN50" s="9">
        <v>2.787106805600607</v>
      </c>
      <c r="AO50" s="9">
        <v>2.75034428920744</v>
      </c>
      <c r="AP50" s="9">
        <v>2.793575126468232</v>
      </c>
      <c r="AQ50" s="9">
        <v>2.82511497364678</v>
      </c>
      <c r="AR50" s="9">
        <v>2.830028793557825</v>
      </c>
      <c r="AS50" s="9">
        <v>2.476031616580724</v>
      </c>
      <c r="AT50" s="9">
        <v>3.08548183283174</v>
      </c>
      <c r="AU50" s="9">
        <v>2.810000599214498</v>
      </c>
      <c r="AV50" s="9">
        <v>2.451546647609403</v>
      </c>
      <c r="AW50" s="9">
        <v>2.819169335251686</v>
      </c>
    </row>
    <row r="51" ht="15.0" customHeight="1">
      <c r="A51" s="5" t="s">
        <v>166</v>
      </c>
      <c r="B51" s="5" t="s">
        <v>167</v>
      </c>
      <c r="C51" s="5" t="s">
        <v>100</v>
      </c>
      <c r="D51" s="5" t="s">
        <v>52</v>
      </c>
      <c r="E51" s="5">
        <v>6.5</v>
      </c>
      <c r="F51" s="6">
        <v>1.0</v>
      </c>
      <c r="G51" s="5">
        <v>77.0</v>
      </c>
      <c r="H51" s="5">
        <v>2762.0</v>
      </c>
      <c r="I51" s="5" t="b">
        <v>1</v>
      </c>
      <c r="J51" s="5" t="b">
        <v>0</v>
      </c>
      <c r="K51" s="7">
        <v>77.0</v>
      </c>
      <c r="L51" s="8">
        <v>0.06403349681620557</v>
      </c>
      <c r="M51" s="9">
        <f t="shared" si="1"/>
        <v>3.409080254</v>
      </c>
      <c r="N51" s="7">
        <f t="shared" si="2"/>
        <v>115.9087286</v>
      </c>
      <c r="O51" s="9">
        <f t="shared" si="3"/>
        <v>17.8321121</v>
      </c>
      <c r="P51" s="9">
        <v>3.435488891373279</v>
      </c>
      <c r="Q51" s="9">
        <v>2.844453346730399</v>
      </c>
      <c r="R51" s="9">
        <v>3.132354283080541</v>
      </c>
      <c r="S51" s="9">
        <v>3.500322448813106</v>
      </c>
      <c r="T51" s="9">
        <v>3.267276116658148</v>
      </c>
      <c r="U51" s="9">
        <v>3.189837167658705</v>
      </c>
      <c r="V51" s="9">
        <v>3.064502833797878</v>
      </c>
      <c r="W51" s="9">
        <v>3.966009220051253</v>
      </c>
      <c r="X51" s="9">
        <v>4.08248687969334</v>
      </c>
      <c r="Y51" s="9">
        <v>3.065474204913468</v>
      </c>
      <c r="Z51" s="9">
        <v>3.879852775240171</v>
      </c>
      <c r="AA51" s="9">
        <v>3.489971605480374</v>
      </c>
      <c r="AB51" s="9">
        <v>3.399750047184995</v>
      </c>
      <c r="AC51" s="9">
        <v>3.339544930896113</v>
      </c>
      <c r="AD51" s="9">
        <v>3.41886476250989</v>
      </c>
      <c r="AE51" s="9">
        <v>3.84043780631252</v>
      </c>
      <c r="AF51" s="9">
        <v>2.875820343223793</v>
      </c>
      <c r="AG51" s="9">
        <v>3.459873081118348</v>
      </c>
      <c r="AH51" s="9">
        <v>3.390239047224177</v>
      </c>
      <c r="AI51" s="9">
        <v>2.865860053285479</v>
      </c>
      <c r="AJ51" s="9">
        <v>3.925739331043845</v>
      </c>
      <c r="AK51" s="9">
        <v>3.535659864416935</v>
      </c>
      <c r="AL51" s="9">
        <v>3.456968609388797</v>
      </c>
      <c r="AM51" s="9">
        <v>3.455257531380643</v>
      </c>
      <c r="AN51" s="9">
        <v>4.012105871390716</v>
      </c>
      <c r="AO51" s="9">
        <v>3.047507685394929</v>
      </c>
      <c r="AP51" s="9">
        <v>3.547917035095281</v>
      </c>
      <c r="AQ51" s="9">
        <v>3.353491848335335</v>
      </c>
      <c r="AR51" s="9">
        <v>3.197607481844829</v>
      </c>
      <c r="AS51" s="9">
        <v>3.904788799084027</v>
      </c>
      <c r="AT51" s="9">
        <v>3.097324310622712</v>
      </c>
      <c r="AU51" s="9">
        <v>3.726396711024913</v>
      </c>
      <c r="AV51" s="9">
        <v>2.975973245053623</v>
      </c>
      <c r="AW51" s="9">
        <v>3.163570470445439</v>
      </c>
    </row>
    <row r="52" ht="15.0" customHeight="1">
      <c r="A52" s="5" t="s">
        <v>168</v>
      </c>
      <c r="B52" s="5" t="s">
        <v>169</v>
      </c>
      <c r="C52" s="5" t="s">
        <v>51</v>
      </c>
      <c r="D52" s="5" t="s">
        <v>52</v>
      </c>
      <c r="E52" s="5">
        <v>8.5</v>
      </c>
      <c r="F52" s="6">
        <v>0.625</v>
      </c>
      <c r="G52" s="10">
        <v>68.0</v>
      </c>
      <c r="H52" s="5">
        <v>1582.0</v>
      </c>
      <c r="I52" s="5" t="b">
        <v>1</v>
      </c>
      <c r="J52" s="5" t="b">
        <v>0</v>
      </c>
      <c r="K52" s="7">
        <v>51.10625</v>
      </c>
      <c r="L52" s="8">
        <v>0.1096146139833152</v>
      </c>
      <c r="M52" s="9">
        <f t="shared" si="1"/>
        <v>2.757054294</v>
      </c>
      <c r="N52" s="7">
        <f t="shared" si="2"/>
        <v>93.73984601</v>
      </c>
      <c r="O52" s="9">
        <f t="shared" si="3"/>
        <v>11.02821718</v>
      </c>
      <c r="P52" s="9">
        <v>3.250288035174298</v>
      </c>
      <c r="Q52" s="9">
        <v>2.663579750075854</v>
      </c>
      <c r="R52" s="9">
        <v>2.763064608877594</v>
      </c>
      <c r="S52" s="9">
        <v>2.359096500043757</v>
      </c>
      <c r="T52" s="9">
        <v>2.332337527904826</v>
      </c>
      <c r="U52" s="9">
        <v>3.051297764183969</v>
      </c>
      <c r="V52" s="9">
        <v>2.120564997826897</v>
      </c>
      <c r="W52" s="9">
        <v>2.85564354884684</v>
      </c>
      <c r="X52" s="9">
        <v>2.716192323710133</v>
      </c>
      <c r="Y52" s="9">
        <v>2.489951987651439</v>
      </c>
      <c r="Z52" s="9">
        <v>3.339448175143012</v>
      </c>
      <c r="AA52" s="9">
        <v>2.78037111314516</v>
      </c>
      <c r="AB52" s="9">
        <v>2.36972452071516</v>
      </c>
      <c r="AC52" s="9">
        <v>3.40251609348844</v>
      </c>
      <c r="AD52" s="9">
        <v>2.255632970429799</v>
      </c>
      <c r="AE52" s="9">
        <v>3.216795574320252</v>
      </c>
      <c r="AF52" s="9">
        <v>3.325836426533263</v>
      </c>
      <c r="AG52" s="9">
        <v>2.130374784789683</v>
      </c>
      <c r="AH52" s="9">
        <v>2.732385752148719</v>
      </c>
      <c r="AI52" s="9">
        <v>3.209572672523882</v>
      </c>
      <c r="AJ52" s="9">
        <v>2.814535870428998</v>
      </c>
      <c r="AK52" s="9">
        <v>2.47286802312053</v>
      </c>
      <c r="AL52" s="9">
        <v>3.294197551592839</v>
      </c>
      <c r="AM52" s="9">
        <v>2.576475157741263</v>
      </c>
      <c r="AN52" s="9">
        <v>2.778631008054612</v>
      </c>
      <c r="AO52" s="9">
        <v>2.689701215581251</v>
      </c>
      <c r="AP52" s="9">
        <v>2.339623868808346</v>
      </c>
      <c r="AQ52" s="9">
        <v>2.649944395690126</v>
      </c>
      <c r="AR52" s="9">
        <v>2.787637623442071</v>
      </c>
      <c r="AS52" s="9">
        <v>2.748659222019609</v>
      </c>
      <c r="AT52" s="9">
        <v>2.843583923775661</v>
      </c>
      <c r="AU52" s="9">
        <v>3.16443323892781</v>
      </c>
      <c r="AV52" s="9">
        <v>2.804046544342343</v>
      </c>
      <c r="AW52" s="9">
        <v>2.410833238898098</v>
      </c>
    </row>
    <row r="53" ht="15.0" customHeight="1">
      <c r="A53" s="5" t="s">
        <v>170</v>
      </c>
      <c r="B53" s="5" t="s">
        <v>171</v>
      </c>
      <c r="C53" s="5" t="s">
        <v>76</v>
      </c>
      <c r="D53" s="5" t="s">
        <v>103</v>
      </c>
      <c r="E53" s="5">
        <v>5.0</v>
      </c>
      <c r="F53" s="6">
        <v>0.8787878788</v>
      </c>
      <c r="G53" s="5">
        <v>90.0</v>
      </c>
      <c r="H53" s="5">
        <v>2847.0</v>
      </c>
      <c r="I53" s="5" t="b">
        <v>1</v>
      </c>
      <c r="J53" s="5" t="b">
        <v>0</v>
      </c>
      <c r="K53" s="7">
        <v>79.090909092</v>
      </c>
      <c r="L53" s="8">
        <v>0.08464977165851865</v>
      </c>
      <c r="M53" s="9">
        <f t="shared" si="1"/>
        <v>4.008328079</v>
      </c>
      <c r="N53" s="7">
        <f t="shared" si="2"/>
        <v>136.2831547</v>
      </c>
      <c r="O53" s="9">
        <f t="shared" si="3"/>
        <v>27.25663094</v>
      </c>
      <c r="P53" s="9">
        <v>3.95938083414761</v>
      </c>
      <c r="Q53" s="9">
        <v>3.849156392976937</v>
      </c>
      <c r="R53" s="9">
        <v>4.193932696883292</v>
      </c>
      <c r="S53" s="9">
        <v>4.103663902908139</v>
      </c>
      <c r="T53" s="9">
        <v>3.982903847765028</v>
      </c>
      <c r="U53" s="9">
        <v>4.063292192991658</v>
      </c>
      <c r="V53" s="9">
        <v>3.969018146553268</v>
      </c>
      <c r="W53" s="9">
        <v>3.729703343792365</v>
      </c>
      <c r="X53" s="9">
        <v>4.172356680693113</v>
      </c>
      <c r="Y53" s="9">
        <v>4.098974551282244</v>
      </c>
      <c r="Z53" s="9">
        <v>3.963494278129802</v>
      </c>
      <c r="AA53" s="9">
        <v>3.918571056545576</v>
      </c>
      <c r="AB53" s="9">
        <v>3.81862110042018</v>
      </c>
      <c r="AC53" s="9">
        <v>4.010002706560418</v>
      </c>
      <c r="AD53" s="9">
        <v>4.317109606606653</v>
      </c>
      <c r="AE53" s="9">
        <v>4.181118827563171</v>
      </c>
      <c r="AF53" s="9">
        <v>3.882333922281266</v>
      </c>
      <c r="AG53" s="9">
        <v>3.827586514483844</v>
      </c>
      <c r="AH53" s="9">
        <v>4.155865080421568</v>
      </c>
      <c r="AI53" s="9">
        <v>3.808998724635241</v>
      </c>
      <c r="AJ53" s="9">
        <v>4.009781025424702</v>
      </c>
      <c r="AK53" s="9">
        <v>3.892755810262746</v>
      </c>
      <c r="AL53" s="9">
        <v>4.318337655646018</v>
      </c>
      <c r="AM53" s="9">
        <v>3.982640702507807</v>
      </c>
      <c r="AN53" s="9">
        <v>3.777691607643248</v>
      </c>
      <c r="AO53" s="9">
        <v>4.20545919441218</v>
      </c>
      <c r="AP53" s="9">
        <v>4.0004721070875</v>
      </c>
      <c r="AQ53" s="9">
        <v>3.971608181673429</v>
      </c>
      <c r="AR53" s="9">
        <v>3.812225455458969</v>
      </c>
      <c r="AS53" s="9">
        <v>4.312712462581746</v>
      </c>
      <c r="AT53" s="9">
        <v>4.050567892742182</v>
      </c>
      <c r="AU53" s="9">
        <v>4.102639890730966</v>
      </c>
      <c r="AV53" s="9">
        <v>3.9898808871632</v>
      </c>
      <c r="AW53" s="9">
        <v>3.85029742197186</v>
      </c>
    </row>
    <row r="54" ht="15.0" customHeight="1">
      <c r="A54" s="5" t="s">
        <v>172</v>
      </c>
      <c r="B54" s="5" t="s">
        <v>173</v>
      </c>
      <c r="C54" s="5" t="s">
        <v>76</v>
      </c>
      <c r="D54" s="5" t="s">
        <v>83</v>
      </c>
      <c r="E54" s="5">
        <v>5.5</v>
      </c>
      <c r="F54" s="6">
        <v>1.0</v>
      </c>
      <c r="G54" s="5">
        <v>88.0</v>
      </c>
      <c r="H54" s="5">
        <v>3071.0</v>
      </c>
      <c r="I54" s="5" t="b">
        <v>1</v>
      </c>
      <c r="J54" s="5" t="b">
        <v>0</v>
      </c>
      <c r="K54" s="7">
        <v>88.0</v>
      </c>
      <c r="L54" s="8">
        <v>0.06048272362578917</v>
      </c>
      <c r="M54" s="9">
        <f t="shared" si="1"/>
        <v>3.218457912</v>
      </c>
      <c r="N54" s="7">
        <f t="shared" si="2"/>
        <v>109.427569</v>
      </c>
      <c r="O54" s="9">
        <f t="shared" si="3"/>
        <v>19.89592164</v>
      </c>
      <c r="P54" s="9">
        <v>0.0</v>
      </c>
      <c r="Q54" s="9">
        <v>2.836930631035758</v>
      </c>
      <c r="R54" s="9">
        <v>3.902870414187277</v>
      </c>
      <c r="S54" s="9">
        <v>3.539278894044726</v>
      </c>
      <c r="T54" s="9">
        <v>3.232054902058889</v>
      </c>
      <c r="U54" s="9">
        <v>3.606495350242223</v>
      </c>
      <c r="V54" s="9">
        <v>3.176076336065152</v>
      </c>
      <c r="W54" s="9">
        <v>2.510683487699838</v>
      </c>
      <c r="X54" s="9">
        <v>3.802397609539592</v>
      </c>
      <c r="Y54" s="9">
        <v>3.493660969577787</v>
      </c>
      <c r="Z54" s="9">
        <v>3.2485138857625</v>
      </c>
      <c r="AA54" s="9">
        <v>3.039035373670623</v>
      </c>
      <c r="AB54" s="9">
        <v>2.77679913695873</v>
      </c>
      <c r="AC54" s="9">
        <v>3.318625413714082</v>
      </c>
      <c r="AD54" s="9">
        <v>4.113590476791605</v>
      </c>
      <c r="AE54" s="9">
        <v>3.906909657649789</v>
      </c>
      <c r="AF54" s="9">
        <v>2.91542327570244</v>
      </c>
      <c r="AG54" s="9">
        <v>2.76423542960674</v>
      </c>
      <c r="AH54" s="9">
        <v>3.728987976702681</v>
      </c>
      <c r="AI54" s="9">
        <v>2.676250596432824</v>
      </c>
      <c r="AJ54" s="9">
        <v>3.324169765405252</v>
      </c>
      <c r="AK54" s="9">
        <v>3.059000507873787</v>
      </c>
      <c r="AL54" s="9">
        <v>4.13240154203118</v>
      </c>
      <c r="AM54" s="9">
        <v>3.236537485730146</v>
      </c>
      <c r="AN54" s="9">
        <v>2.615560371909266</v>
      </c>
      <c r="AO54" s="9">
        <v>3.896635952390361</v>
      </c>
      <c r="AP54" s="9">
        <v>3.319289220285885</v>
      </c>
      <c r="AQ54" s="9">
        <v>3.250289892983446</v>
      </c>
      <c r="AR54" s="9">
        <v>2.774773737893678</v>
      </c>
      <c r="AS54" s="9">
        <v>4.074768827359318</v>
      </c>
      <c r="AT54" s="9">
        <v>3.418994652867534</v>
      </c>
      <c r="AU54" s="9">
        <v>3.524638790446091</v>
      </c>
      <c r="AV54" s="9">
        <v>3.317966869160545</v>
      </c>
      <c r="AW54" s="9">
        <v>2.893721562477888</v>
      </c>
    </row>
    <row r="55" ht="15.0" customHeight="1">
      <c r="A55" s="5" t="s">
        <v>174</v>
      </c>
      <c r="B55" s="5" t="s">
        <v>175</v>
      </c>
      <c r="C55" s="5" t="s">
        <v>67</v>
      </c>
      <c r="D55" s="5" t="s">
        <v>52</v>
      </c>
      <c r="E55" s="5">
        <v>5.5</v>
      </c>
      <c r="F55" s="6">
        <v>0.0</v>
      </c>
      <c r="G55" s="5"/>
      <c r="H55" s="5">
        <v>915.0</v>
      </c>
      <c r="I55" s="5" t="b">
        <v>0</v>
      </c>
      <c r="J55" s="5" t="b">
        <v>0</v>
      </c>
      <c r="K55" s="7">
        <v>0.0</v>
      </c>
      <c r="L55" s="8">
        <v>0.06188335504567805</v>
      </c>
      <c r="M55" s="9">
        <f t="shared" si="1"/>
        <v>0</v>
      </c>
      <c r="N55" s="7">
        <f t="shared" si="2"/>
        <v>0</v>
      </c>
      <c r="O55" s="9">
        <f t="shared" si="3"/>
        <v>0</v>
      </c>
      <c r="P55" s="9">
        <v>0.0</v>
      </c>
      <c r="Q55" s="9">
        <v>0.0</v>
      </c>
      <c r="R55" s="9">
        <v>0.0</v>
      </c>
      <c r="S55" s="9">
        <v>0.0</v>
      </c>
      <c r="T55" s="9">
        <v>0.0</v>
      </c>
      <c r="U55" s="9">
        <v>0.0</v>
      </c>
      <c r="V55" s="9">
        <v>0.0</v>
      </c>
      <c r="W55" s="9">
        <v>0.0</v>
      </c>
      <c r="X55" s="9">
        <v>0.0</v>
      </c>
      <c r="Y55" s="9">
        <v>0.0</v>
      </c>
      <c r="Z55" s="9">
        <v>0.0</v>
      </c>
      <c r="AA55" s="9">
        <v>0.0</v>
      </c>
      <c r="AB55" s="9">
        <v>0.0</v>
      </c>
      <c r="AC55" s="9">
        <v>0.0</v>
      </c>
      <c r="AD55" s="9">
        <v>0.0</v>
      </c>
      <c r="AE55" s="9">
        <v>0.0</v>
      </c>
      <c r="AF55" s="9">
        <v>0.0</v>
      </c>
      <c r="AG55" s="9">
        <v>0.0</v>
      </c>
      <c r="AH55" s="9">
        <v>0.0</v>
      </c>
      <c r="AI55" s="9">
        <v>0.0</v>
      </c>
      <c r="AJ55" s="9">
        <v>0.0</v>
      </c>
      <c r="AK55" s="9">
        <v>0.0</v>
      </c>
      <c r="AL55" s="9">
        <v>0.0</v>
      </c>
      <c r="AM55" s="9">
        <v>0.0</v>
      </c>
      <c r="AN55" s="9">
        <v>0.0</v>
      </c>
      <c r="AO55" s="9">
        <v>0.0</v>
      </c>
      <c r="AP55" s="9">
        <v>0.0</v>
      </c>
      <c r="AQ55" s="9">
        <v>0.0</v>
      </c>
      <c r="AR55" s="9">
        <v>0.0</v>
      </c>
      <c r="AS55" s="9">
        <v>0.0</v>
      </c>
      <c r="AT55" s="9">
        <v>0.0</v>
      </c>
      <c r="AU55" s="9">
        <v>0.0</v>
      </c>
      <c r="AV55" s="9">
        <v>0.0</v>
      </c>
      <c r="AW55" s="9">
        <v>0.0</v>
      </c>
    </row>
    <row r="56" ht="15.0" customHeight="1">
      <c r="A56" s="5" t="s">
        <v>176</v>
      </c>
      <c r="B56" s="5" t="s">
        <v>177</v>
      </c>
      <c r="C56" s="5" t="s">
        <v>67</v>
      </c>
      <c r="D56" s="5" t="s">
        <v>56</v>
      </c>
      <c r="E56" s="5">
        <v>9.0</v>
      </c>
      <c r="F56" s="6">
        <v>0.45</v>
      </c>
      <c r="G56" s="5">
        <v>76.0</v>
      </c>
      <c r="H56" s="5">
        <v>961.0</v>
      </c>
      <c r="I56" s="5" t="b">
        <v>1</v>
      </c>
      <c r="J56" s="5" t="b">
        <v>1</v>
      </c>
      <c r="K56" s="7">
        <v>73.02</v>
      </c>
      <c r="L56" s="8">
        <v>0.1237116310381618</v>
      </c>
      <c r="M56" s="9">
        <f t="shared" si="1"/>
        <v>4.513098844</v>
      </c>
      <c r="N56" s="7">
        <f t="shared" si="2"/>
        <v>153.4453607</v>
      </c>
      <c r="O56" s="9">
        <f t="shared" si="3"/>
        <v>17.04948452</v>
      </c>
      <c r="P56" s="9">
        <v>5.084991928839774</v>
      </c>
      <c r="Q56" s="9">
        <v>3.887626227243264</v>
      </c>
      <c r="R56" s="9">
        <v>4.46652935880822</v>
      </c>
      <c r="S56" s="9">
        <v>5.612711435867604</v>
      </c>
      <c r="T56" s="9">
        <v>4.063689436717746</v>
      </c>
      <c r="U56" s="9">
        <v>5.341978270119718</v>
      </c>
      <c r="V56" s="9">
        <v>5.377134116112849</v>
      </c>
      <c r="W56" s="9">
        <v>3.581895672186328</v>
      </c>
      <c r="X56" s="9">
        <v>4.446661583698361</v>
      </c>
      <c r="Y56" s="9">
        <v>4.009778855089142</v>
      </c>
      <c r="Z56" s="9">
        <v>3.881663407267916</v>
      </c>
      <c r="AA56" s="9">
        <v>4.579673030908912</v>
      </c>
      <c r="AB56" s="9">
        <v>4.206077329497226</v>
      </c>
      <c r="AC56" s="9">
        <v>4.590747795329165</v>
      </c>
      <c r="AD56" s="9">
        <v>4.17826775738733</v>
      </c>
      <c r="AE56" s="9">
        <v>4.673494366516158</v>
      </c>
      <c r="AF56" s="9">
        <v>4.363765129441566</v>
      </c>
      <c r="AG56" s="9">
        <v>4.741986175761711</v>
      </c>
      <c r="AH56" s="9">
        <v>4.717877066464555</v>
      </c>
      <c r="AI56" s="9">
        <v>4.507645633547424</v>
      </c>
      <c r="AJ56" s="9">
        <v>4.100717552108005</v>
      </c>
      <c r="AK56" s="9">
        <v>3.941741382178604</v>
      </c>
      <c r="AL56" s="9">
        <v>5.278167051084927</v>
      </c>
      <c r="AM56" s="9">
        <v>4.012230616811718</v>
      </c>
      <c r="AN56" s="9">
        <v>3.513572202797376</v>
      </c>
      <c r="AO56" s="9">
        <v>4.93150479295771</v>
      </c>
      <c r="AP56" s="9">
        <v>5.141387622254255</v>
      </c>
      <c r="AQ56" s="9">
        <v>3.640160187186031</v>
      </c>
      <c r="AR56" s="9">
        <v>4.514471588170609</v>
      </c>
      <c r="AS56" s="9">
        <v>5.251722996101877</v>
      </c>
      <c r="AT56" s="9">
        <v>4.540884649345834</v>
      </c>
      <c r="AU56" s="9">
        <v>4.499709106260887</v>
      </c>
      <c r="AV56" s="9">
        <v>5.443502079647772</v>
      </c>
      <c r="AW56" s="9">
        <v>4.321394284476921</v>
      </c>
    </row>
    <row r="57" ht="15.0" customHeight="1">
      <c r="A57" s="5" t="s">
        <v>178</v>
      </c>
      <c r="B57" s="5" t="s">
        <v>179</v>
      </c>
      <c r="C57" s="5" t="s">
        <v>141</v>
      </c>
      <c r="D57" s="5" t="s">
        <v>56</v>
      </c>
      <c r="E57" s="5">
        <v>6.5</v>
      </c>
      <c r="F57" s="6">
        <v>0.4</v>
      </c>
      <c r="G57" s="5">
        <v>75.0</v>
      </c>
      <c r="H57" s="5">
        <v>1417.0</v>
      </c>
      <c r="I57" s="5" t="b">
        <v>1</v>
      </c>
      <c r="J57" s="5" t="b">
        <v>0</v>
      </c>
      <c r="K57" s="7">
        <v>73.02</v>
      </c>
      <c r="L57" s="8">
        <v>0.1051359483035639</v>
      </c>
      <c r="M57" s="9">
        <f t="shared" si="1"/>
        <v>3.432850978</v>
      </c>
      <c r="N57" s="7">
        <f t="shared" si="2"/>
        <v>116.7169332</v>
      </c>
      <c r="O57" s="9">
        <f t="shared" si="3"/>
        <v>17.95645127</v>
      </c>
      <c r="P57" s="9">
        <v>3.43700015517492</v>
      </c>
      <c r="Q57" s="9">
        <v>3.328243077167933</v>
      </c>
      <c r="R57" s="9">
        <v>2.930452509583699</v>
      </c>
      <c r="S57" s="9">
        <v>3.886927945397044</v>
      </c>
      <c r="T57" s="9">
        <v>3.146282604230481</v>
      </c>
      <c r="U57" s="9">
        <v>3.559759836988738</v>
      </c>
      <c r="V57" s="9">
        <v>3.983471431865377</v>
      </c>
      <c r="W57" s="9">
        <v>3.352984531734781</v>
      </c>
      <c r="X57" s="9">
        <v>3.432365807442601</v>
      </c>
      <c r="Y57" s="9">
        <v>3.147714252603753</v>
      </c>
      <c r="Z57" s="9">
        <v>3.684502704251818</v>
      </c>
      <c r="AA57" s="9">
        <v>2.999588012639527</v>
      </c>
      <c r="AB57" s="9">
        <v>3.57383778216119</v>
      </c>
      <c r="AC57" s="9">
        <v>3.92418900020777</v>
      </c>
      <c r="AD57" s="9">
        <v>3.45640929369716</v>
      </c>
      <c r="AE57" s="9">
        <v>3.199384109346507</v>
      </c>
      <c r="AF57" s="9">
        <v>3.40138995906243</v>
      </c>
      <c r="AG57" s="9">
        <v>4.082277240498452</v>
      </c>
      <c r="AH57" s="9">
        <v>3.07147261320422</v>
      </c>
      <c r="AI57" s="9">
        <v>3.26090646387174</v>
      </c>
      <c r="AJ57" s="9">
        <v>3.533843607202819</v>
      </c>
      <c r="AK57" s="9">
        <v>3.336687236527823</v>
      </c>
      <c r="AL57" s="9">
        <v>3.485525700555132</v>
      </c>
      <c r="AM57" s="9">
        <v>3.440986010220432</v>
      </c>
      <c r="AN57" s="9">
        <v>3.944717426467004</v>
      </c>
      <c r="AO57" s="9">
        <v>3.074954461150218</v>
      </c>
      <c r="AP57" s="9">
        <v>3.244667720805497</v>
      </c>
      <c r="AQ57" s="9">
        <v>3.177762415575979</v>
      </c>
      <c r="AR57" s="9">
        <v>3.807058827211717</v>
      </c>
      <c r="AS57" s="9">
        <v>3.412991277271568</v>
      </c>
      <c r="AT57" s="9">
        <v>3.774127893510855</v>
      </c>
      <c r="AU57" s="9">
        <v>2.856534444766392</v>
      </c>
      <c r="AV57" s="9">
        <v>3.871486563817982</v>
      </c>
      <c r="AW57" s="9">
        <v>2.896430321639905</v>
      </c>
    </row>
    <row r="58" ht="15.0" customHeight="1">
      <c r="A58" s="5" t="s">
        <v>180</v>
      </c>
      <c r="B58" s="5" t="s">
        <v>181</v>
      </c>
      <c r="C58" s="5" t="s">
        <v>79</v>
      </c>
      <c r="D58" s="5" t="s">
        <v>52</v>
      </c>
      <c r="E58" s="5">
        <v>7.0</v>
      </c>
      <c r="F58" s="6"/>
      <c r="G58" s="5"/>
      <c r="H58" s="5">
        <v>2845.0</v>
      </c>
      <c r="I58" s="5" t="b">
        <v>0</v>
      </c>
      <c r="J58" s="5" t="b">
        <v>0</v>
      </c>
      <c r="K58" s="7">
        <v>22.95</v>
      </c>
      <c r="L58" s="8">
        <v>0.06112864567688467</v>
      </c>
      <c r="M58" s="9">
        <f t="shared" si="1"/>
        <v>1.48610654</v>
      </c>
      <c r="N58" s="7">
        <f t="shared" si="2"/>
        <v>50.52762236</v>
      </c>
      <c r="O58" s="9">
        <f t="shared" si="3"/>
        <v>7.218231765</v>
      </c>
      <c r="P58" s="9">
        <v>1.39931770014465</v>
      </c>
      <c r="Q58" s="9">
        <v>1.656183775268303</v>
      </c>
      <c r="R58" s="9">
        <v>0.0</v>
      </c>
      <c r="S58" s="9">
        <v>1.470611837635444</v>
      </c>
      <c r="T58" s="9">
        <v>3.020444544536538</v>
      </c>
      <c r="U58" s="9">
        <v>1.589443485706606</v>
      </c>
      <c r="V58" s="9">
        <v>1.420647613068304</v>
      </c>
      <c r="W58" s="9">
        <v>1.474310424860352</v>
      </c>
      <c r="X58" s="9">
        <v>1.481964635140335</v>
      </c>
      <c r="Y58" s="9">
        <v>1.342514364642012</v>
      </c>
      <c r="Z58" s="9">
        <v>1.455179824488069</v>
      </c>
      <c r="AA58" s="9">
        <v>1.480487170337668</v>
      </c>
      <c r="AB58" s="9">
        <v>1.637284091591179</v>
      </c>
      <c r="AC58" s="9">
        <v>1.389738120505716</v>
      </c>
      <c r="AD58" s="9">
        <v>1.521101342082209</v>
      </c>
      <c r="AE58" s="9">
        <v>1.560870303414062</v>
      </c>
      <c r="AF58" s="9">
        <v>1.309626919335859</v>
      </c>
      <c r="AG58" s="9">
        <v>1.625404987956126</v>
      </c>
      <c r="AH58" s="9">
        <v>1.366541753480363</v>
      </c>
      <c r="AI58" s="9">
        <v>1.52558949655131</v>
      </c>
      <c r="AJ58" s="9">
        <v>1.620482159738357</v>
      </c>
      <c r="AK58" s="9">
        <v>1.320473447930623</v>
      </c>
      <c r="AL58" s="9">
        <v>1.599942114267143</v>
      </c>
      <c r="AM58" s="9">
        <v>1.447292063275336</v>
      </c>
      <c r="AN58" s="9">
        <v>1.449984124588591</v>
      </c>
      <c r="AO58" s="9">
        <v>1.483235355612433</v>
      </c>
      <c r="AP58" s="9">
        <v>1.687683807848155</v>
      </c>
      <c r="AQ58" s="9">
        <v>1.365431714250338</v>
      </c>
      <c r="AR58" s="9">
        <v>1.488152414019489</v>
      </c>
      <c r="AS58" s="9">
        <v>1.512839053721866</v>
      </c>
      <c r="AT58" s="9">
        <v>1.425824646106332</v>
      </c>
      <c r="AU58" s="9">
        <v>1.495373263446806</v>
      </c>
      <c r="AV58" s="9">
        <v>1.40621085822539</v>
      </c>
      <c r="AW58" s="9">
        <v>1.497434942823441</v>
      </c>
    </row>
    <row r="59" ht="15.0" customHeight="1">
      <c r="A59" s="5" t="s">
        <v>182</v>
      </c>
      <c r="B59" s="5" t="s">
        <v>183</v>
      </c>
      <c r="C59" s="5" t="s">
        <v>55</v>
      </c>
      <c r="D59" s="5" t="s">
        <v>52</v>
      </c>
      <c r="E59" s="5">
        <v>10.5</v>
      </c>
      <c r="F59" s="6">
        <v>0.5714285714</v>
      </c>
      <c r="G59" s="5">
        <v>78.0</v>
      </c>
      <c r="H59" s="5">
        <v>1190.0</v>
      </c>
      <c r="I59" s="5" t="b">
        <v>1</v>
      </c>
      <c r="J59" s="5" t="b">
        <v>0</v>
      </c>
      <c r="K59" s="7">
        <v>54.40714285557</v>
      </c>
      <c r="L59" s="8">
        <v>0.1020960652132542</v>
      </c>
      <c r="M59" s="9">
        <f t="shared" si="1"/>
        <v>3.617441237</v>
      </c>
      <c r="N59" s="7">
        <f t="shared" si="2"/>
        <v>122.9930021</v>
      </c>
      <c r="O59" s="9">
        <f t="shared" si="3"/>
        <v>11.71361924</v>
      </c>
      <c r="P59" s="9">
        <v>3.354537325045712</v>
      </c>
      <c r="Q59" s="9">
        <v>4.547773516305646</v>
      </c>
      <c r="R59" s="9">
        <v>3.621108772967109</v>
      </c>
      <c r="S59" s="9">
        <v>4.215933330276373</v>
      </c>
      <c r="T59" s="9">
        <v>3.096116415384861</v>
      </c>
      <c r="U59" s="9">
        <v>3.666299237504769</v>
      </c>
      <c r="V59" s="9">
        <v>3.63548793226033</v>
      </c>
      <c r="W59" s="9">
        <v>3.461953180795666</v>
      </c>
      <c r="X59" s="9">
        <v>3.555062723005298</v>
      </c>
      <c r="Y59" s="9">
        <v>2.746980701447559</v>
      </c>
      <c r="Z59" s="9">
        <v>4.307915208303968</v>
      </c>
      <c r="AA59" s="9">
        <v>3.150929539912449</v>
      </c>
      <c r="AB59" s="9">
        <v>4.186492621140573</v>
      </c>
      <c r="AC59" s="9">
        <v>3.603508768816137</v>
      </c>
      <c r="AD59" s="9">
        <v>3.6730013096438</v>
      </c>
      <c r="AE59" s="9">
        <v>3.047663389616226</v>
      </c>
      <c r="AF59" s="9">
        <v>3.19958611019862</v>
      </c>
      <c r="AG59" s="9">
        <v>3.250152050045097</v>
      </c>
      <c r="AH59" s="9">
        <v>3.482886719284595</v>
      </c>
      <c r="AI59" s="9">
        <v>4.426769503566426</v>
      </c>
      <c r="AJ59" s="9">
        <v>2.915875964827798</v>
      </c>
      <c r="AK59" s="9">
        <v>3.704329184429648</v>
      </c>
      <c r="AL59" s="9">
        <v>4.300985576109926</v>
      </c>
      <c r="AM59" s="9">
        <v>3.024992403699088</v>
      </c>
      <c r="AN59" s="9">
        <v>3.773855223141722</v>
      </c>
      <c r="AO59" s="9">
        <v>3.755491170295923</v>
      </c>
      <c r="AP59" s="9">
        <v>4.344124133549886</v>
      </c>
      <c r="AQ59" s="9">
        <v>3.578558767923527</v>
      </c>
      <c r="AR59" s="9">
        <v>3.524188019325714</v>
      </c>
      <c r="AS59" s="9">
        <v>4.018565477652592</v>
      </c>
      <c r="AT59" s="9">
        <v>4.412966706798615</v>
      </c>
      <c r="AU59" s="9">
        <v>3.053570245243701</v>
      </c>
      <c r="AV59" s="9">
        <v>2.716517905179757</v>
      </c>
      <c r="AW59" s="9">
        <v>3.638822917035181</v>
      </c>
    </row>
    <row r="60" ht="15.0" customHeight="1">
      <c r="A60" s="5" t="s">
        <v>184</v>
      </c>
      <c r="B60" s="5" t="s">
        <v>185</v>
      </c>
      <c r="C60" s="5" t="s">
        <v>131</v>
      </c>
      <c r="D60" s="5" t="s">
        <v>56</v>
      </c>
      <c r="E60" s="5">
        <v>7.0</v>
      </c>
      <c r="F60" s="6">
        <v>0.8461538462</v>
      </c>
      <c r="G60" s="5">
        <v>84.0</v>
      </c>
      <c r="H60" s="5">
        <v>2139.0</v>
      </c>
      <c r="I60" s="5" t="b">
        <v>1</v>
      </c>
      <c r="J60" s="5" t="b">
        <v>0</v>
      </c>
      <c r="K60" s="7">
        <v>74.766153848924</v>
      </c>
      <c r="L60" s="8">
        <v>0.1030303595230417</v>
      </c>
      <c r="M60" s="9">
        <f t="shared" si="1"/>
        <v>3.14524513</v>
      </c>
      <c r="N60" s="7">
        <f t="shared" si="2"/>
        <v>106.9383344</v>
      </c>
      <c r="O60" s="9">
        <f t="shared" si="3"/>
        <v>15.27690492</v>
      </c>
      <c r="P60" s="9">
        <v>3.562114972254868</v>
      </c>
      <c r="Q60" s="9">
        <v>2.741988737230049</v>
      </c>
      <c r="R60" s="9">
        <v>3.442369887124096</v>
      </c>
      <c r="S60" s="9">
        <v>2.824306046241988</v>
      </c>
      <c r="T60" s="9">
        <v>2.884446624914012</v>
      </c>
      <c r="U60" s="9">
        <v>3.206912025241065</v>
      </c>
      <c r="V60" s="9">
        <v>2.94250715514386</v>
      </c>
      <c r="W60" s="9">
        <v>3.370851182818116</v>
      </c>
      <c r="X60" s="9">
        <v>3.212072410815261</v>
      </c>
      <c r="Y60" s="9">
        <v>3.57849615325587</v>
      </c>
      <c r="Z60" s="9">
        <v>3.144934151279879</v>
      </c>
      <c r="AA60" s="9">
        <v>3.106307806694483</v>
      </c>
      <c r="AB60" s="9">
        <v>3.532381563788246</v>
      </c>
      <c r="AC60" s="9">
        <v>2.769137609321823</v>
      </c>
      <c r="AD60" s="9">
        <v>2.94136473483184</v>
      </c>
      <c r="AE60" s="9">
        <v>2.96648485271209</v>
      </c>
      <c r="AF60" s="9">
        <v>3.169652119065982</v>
      </c>
      <c r="AG60" s="9">
        <v>2.909662065556977</v>
      </c>
      <c r="AH60" s="9">
        <v>3.093302964567735</v>
      </c>
      <c r="AI60" s="9">
        <v>3.520059719758027</v>
      </c>
      <c r="AJ60" s="9">
        <v>3.086564732365769</v>
      </c>
      <c r="AK60" s="9">
        <v>3.60942089969906</v>
      </c>
      <c r="AL60" s="9">
        <v>2.88166819559356</v>
      </c>
      <c r="AM60" s="9">
        <v>3.188838231788766</v>
      </c>
      <c r="AN60" s="9">
        <v>3.468647965076767</v>
      </c>
      <c r="AO60" s="9">
        <v>2.983738434391003</v>
      </c>
      <c r="AP60" s="9">
        <v>2.710152805337086</v>
      </c>
      <c r="AQ60" s="9">
        <v>3.250628916043187</v>
      </c>
      <c r="AR60" s="9">
        <v>3.032831765382817</v>
      </c>
      <c r="AS60" s="9">
        <v>3.173350214968027</v>
      </c>
      <c r="AT60" s="9">
        <v>3.019873646429241</v>
      </c>
      <c r="AU60" s="9">
        <v>3.154191718861252</v>
      </c>
      <c r="AV60" s="9">
        <v>3.282543287398569</v>
      </c>
      <c r="AW60" s="9">
        <v>3.176530829600623</v>
      </c>
    </row>
    <row r="61" ht="15.0" customHeight="1">
      <c r="A61" s="5" t="s">
        <v>186</v>
      </c>
      <c r="B61" s="5" t="s">
        <v>187</v>
      </c>
      <c r="C61" s="5" t="s">
        <v>64</v>
      </c>
      <c r="D61" s="5" t="s">
        <v>83</v>
      </c>
      <c r="E61" s="5">
        <v>5.0</v>
      </c>
      <c r="F61" s="6">
        <v>0.8518518519</v>
      </c>
      <c r="G61" s="5">
        <v>80.0</v>
      </c>
      <c r="H61" s="5">
        <v>1987.0</v>
      </c>
      <c r="I61" s="5" t="b">
        <v>1</v>
      </c>
      <c r="J61" s="5" t="b">
        <v>0</v>
      </c>
      <c r="K61" s="7">
        <v>70.55407407714401</v>
      </c>
      <c r="L61" s="8">
        <v>0.06858610651768622</v>
      </c>
      <c r="M61" s="9">
        <f t="shared" si="1"/>
        <v>3.041854269</v>
      </c>
      <c r="N61" s="7">
        <f t="shared" si="2"/>
        <v>103.4230451</v>
      </c>
      <c r="O61" s="9">
        <f t="shared" si="3"/>
        <v>20.68460903</v>
      </c>
      <c r="P61" s="9">
        <v>3.273128328091937</v>
      </c>
      <c r="Q61" s="9">
        <v>3.271126977451434</v>
      </c>
      <c r="R61" s="9">
        <v>3.489775067093634</v>
      </c>
      <c r="S61" s="9">
        <v>3.041490193563431</v>
      </c>
      <c r="T61" s="9">
        <v>2.793136837957243</v>
      </c>
      <c r="U61" s="9">
        <v>3.261471236617818</v>
      </c>
      <c r="V61" s="9">
        <v>3.559622759460459</v>
      </c>
      <c r="W61" s="9">
        <v>2.602567202543236</v>
      </c>
      <c r="X61" s="9">
        <v>3.574637189277306</v>
      </c>
      <c r="Y61" s="9">
        <v>2.971905584903843</v>
      </c>
      <c r="Z61" s="9">
        <v>2.584213070624733</v>
      </c>
      <c r="AA61" s="9">
        <v>2.682975322257953</v>
      </c>
      <c r="AB61" s="9">
        <v>2.637498492580703</v>
      </c>
      <c r="AC61" s="9">
        <v>2.880934966062696</v>
      </c>
      <c r="AD61" s="9">
        <v>2.925200358054999</v>
      </c>
      <c r="AE61" s="9">
        <v>2.537312889027123</v>
      </c>
      <c r="AF61" s="9">
        <v>3.768823682357916</v>
      </c>
      <c r="AG61" s="9">
        <v>3.795363465462202</v>
      </c>
      <c r="AH61" s="9">
        <v>2.778912574377153</v>
      </c>
      <c r="AI61" s="9">
        <v>3.807511704436244</v>
      </c>
      <c r="AJ61" s="9">
        <v>2.535595916839374</v>
      </c>
      <c r="AK61" s="9">
        <v>2.397357321743527</v>
      </c>
      <c r="AL61" s="9">
        <v>3.431482410762627</v>
      </c>
      <c r="AM61" s="9">
        <v>2.972275683783426</v>
      </c>
      <c r="AN61" s="9">
        <v>3.050451466965202</v>
      </c>
      <c r="AO61" s="9">
        <v>2.974680370608453</v>
      </c>
      <c r="AP61" s="9">
        <v>3.053531014927441</v>
      </c>
      <c r="AQ61" s="9">
        <v>3.030262231723915</v>
      </c>
      <c r="AR61" s="9">
        <v>3.033346379322316</v>
      </c>
      <c r="AS61" s="9">
        <v>2.465920872318523</v>
      </c>
      <c r="AT61" s="9">
        <v>3.568392170449485</v>
      </c>
      <c r="AU61" s="9">
        <v>3.239643518136943</v>
      </c>
      <c r="AV61" s="9">
        <v>2.283022981838834</v>
      </c>
      <c r="AW61" s="9">
        <v>3.149474902305564</v>
      </c>
    </row>
    <row r="62" ht="15.0" customHeight="1">
      <c r="A62" s="5" t="s">
        <v>188</v>
      </c>
      <c r="B62" s="5" t="s">
        <v>189</v>
      </c>
      <c r="C62" s="5" t="s">
        <v>64</v>
      </c>
      <c r="D62" s="5" t="s">
        <v>52</v>
      </c>
      <c r="E62" s="5">
        <v>7.0</v>
      </c>
      <c r="F62" s="6">
        <v>0.5555555556</v>
      </c>
      <c r="G62" s="5">
        <v>85.0</v>
      </c>
      <c r="H62" s="5">
        <v>1561.0</v>
      </c>
      <c r="I62" s="5" t="b">
        <v>1</v>
      </c>
      <c r="J62" s="5" t="b">
        <v>0</v>
      </c>
      <c r="K62" s="7">
        <v>57.42222222498</v>
      </c>
      <c r="L62" s="8">
        <v>0.08783297319038383</v>
      </c>
      <c r="M62" s="9">
        <f t="shared" si="1"/>
        <v>3.062852001</v>
      </c>
      <c r="N62" s="7">
        <f t="shared" si="2"/>
        <v>104.136968</v>
      </c>
      <c r="O62" s="9">
        <f t="shared" si="3"/>
        <v>14.87670972</v>
      </c>
      <c r="P62" s="9">
        <v>3.616697058653231</v>
      </c>
      <c r="Q62" s="9">
        <v>3.131740066038803</v>
      </c>
      <c r="R62" s="9">
        <v>3.539445505317129</v>
      </c>
      <c r="S62" s="9">
        <v>3.116131471187046</v>
      </c>
      <c r="T62" s="9">
        <v>2.777737266294726</v>
      </c>
      <c r="U62" s="9">
        <v>3.091202411312083</v>
      </c>
      <c r="V62" s="9">
        <v>3.821904486134932</v>
      </c>
      <c r="W62" s="9">
        <v>2.606221938176744</v>
      </c>
      <c r="X62" s="9">
        <v>3.637854740115575</v>
      </c>
      <c r="Y62" s="9">
        <v>3.09220270346538</v>
      </c>
      <c r="Z62" s="9">
        <v>2.703771590263035</v>
      </c>
      <c r="AA62" s="9">
        <v>2.630034592691596</v>
      </c>
      <c r="AB62" s="9">
        <v>2.78167692971818</v>
      </c>
      <c r="AC62" s="9">
        <v>2.749013461906436</v>
      </c>
      <c r="AD62" s="9">
        <v>2.870514977365452</v>
      </c>
      <c r="AE62" s="9">
        <v>2.520481802658385</v>
      </c>
      <c r="AF62" s="9">
        <v>3.578793905530335</v>
      </c>
      <c r="AG62" s="9">
        <v>3.679179956594029</v>
      </c>
      <c r="AH62" s="9">
        <v>3.021302933685831</v>
      </c>
      <c r="AI62" s="9">
        <v>3.732956607769886</v>
      </c>
      <c r="AJ62" s="9">
        <v>2.622915697861409</v>
      </c>
      <c r="AK62" s="9">
        <v>2.385654084285285</v>
      </c>
      <c r="AL62" s="9">
        <v>3.406745409100734</v>
      </c>
      <c r="AM62" s="9">
        <v>2.955375527503653</v>
      </c>
      <c r="AN62" s="9">
        <v>3.048654470095888</v>
      </c>
      <c r="AO62" s="9">
        <v>2.971660931741529</v>
      </c>
      <c r="AP62" s="9">
        <v>3.068071061138591</v>
      </c>
      <c r="AQ62" s="9">
        <v>3.184666238516561</v>
      </c>
      <c r="AR62" s="9">
        <v>3.198990178281318</v>
      </c>
      <c r="AS62" s="9">
        <v>2.364735116784305</v>
      </c>
      <c r="AT62" s="9">
        <v>3.729112987527247</v>
      </c>
      <c r="AU62" s="9">
        <v>3.015300510507569</v>
      </c>
      <c r="AV62" s="9">
        <v>2.389275420790232</v>
      </c>
      <c r="AW62" s="9">
        <v>3.096945993247318</v>
      </c>
    </row>
    <row r="63" ht="15.0" customHeight="1">
      <c r="A63" s="5" t="s">
        <v>190</v>
      </c>
      <c r="B63" s="5" t="s">
        <v>191</v>
      </c>
      <c r="C63" s="5" t="s">
        <v>95</v>
      </c>
      <c r="D63" s="5" t="s">
        <v>56</v>
      </c>
      <c r="E63" s="5">
        <v>6.0</v>
      </c>
      <c r="F63" s="6">
        <v>0.07692307692</v>
      </c>
      <c r="G63" s="5">
        <v>78.0</v>
      </c>
      <c r="H63" s="5">
        <v>1244.0</v>
      </c>
      <c r="I63" s="5" t="b">
        <v>0</v>
      </c>
      <c r="J63" s="5" t="b">
        <v>0</v>
      </c>
      <c r="K63" s="7">
        <v>28.1353846152184</v>
      </c>
      <c r="L63" s="8">
        <v>0.1381762680741416</v>
      </c>
      <c r="M63" s="9">
        <f t="shared" si="1"/>
        <v>1.978597435</v>
      </c>
      <c r="N63" s="7">
        <f t="shared" si="2"/>
        <v>67.27231278</v>
      </c>
      <c r="O63" s="9">
        <f t="shared" si="3"/>
        <v>11.21205213</v>
      </c>
      <c r="P63" s="9">
        <v>1.844763395495285</v>
      </c>
      <c r="Q63" s="9">
        <v>1.999097594400892</v>
      </c>
      <c r="R63" s="9">
        <v>1.987443118389735</v>
      </c>
      <c r="S63" s="9">
        <v>1.936994817099932</v>
      </c>
      <c r="T63" s="9">
        <v>2.315579082676736</v>
      </c>
      <c r="U63" s="9">
        <v>1.683279830705106</v>
      </c>
      <c r="V63" s="9">
        <v>2.069609095993931</v>
      </c>
      <c r="W63" s="9">
        <v>2.061155806111399</v>
      </c>
      <c r="X63" s="9">
        <v>2.279982156164776</v>
      </c>
      <c r="Y63" s="9">
        <v>1.984660362503285</v>
      </c>
      <c r="Z63" s="9">
        <v>1.789022155440991</v>
      </c>
      <c r="AA63" s="9">
        <v>1.922138480823077</v>
      </c>
      <c r="AB63" s="9">
        <v>1.927208888898193</v>
      </c>
      <c r="AC63" s="9">
        <v>1.966060501336945</v>
      </c>
      <c r="AD63" s="9">
        <v>2.045594060390767</v>
      </c>
      <c r="AE63" s="9">
        <v>1.638894743122918</v>
      </c>
      <c r="AF63" s="9">
        <v>1.97302666753805</v>
      </c>
      <c r="AG63" s="9">
        <v>2.209649782071976</v>
      </c>
      <c r="AH63" s="9">
        <v>1.831780361184903</v>
      </c>
      <c r="AI63" s="9">
        <v>2.012697824479307</v>
      </c>
      <c r="AJ63" s="9">
        <v>2.292308723421272</v>
      </c>
      <c r="AK63" s="9">
        <v>1.989836478195923</v>
      </c>
      <c r="AL63" s="9">
        <v>1.813737541090757</v>
      </c>
      <c r="AM63" s="9">
        <v>1.871954543770239</v>
      </c>
      <c r="AN63" s="9">
        <v>2.248336275543619</v>
      </c>
      <c r="AO63" s="9">
        <v>1.724793165310872</v>
      </c>
      <c r="AP63" s="9">
        <v>1.770047954193309</v>
      </c>
      <c r="AQ63" s="9">
        <v>2.189875963857328</v>
      </c>
      <c r="AR63" s="9">
        <v>2.374908347865794</v>
      </c>
      <c r="AS63" s="9">
        <v>1.662850754330404</v>
      </c>
      <c r="AT63" s="9">
        <v>1.812877888736604</v>
      </c>
      <c r="AU63" s="9">
        <v>2.016580929112965</v>
      </c>
      <c r="AV63" s="9">
        <v>1.76795723217004</v>
      </c>
      <c r="AW63" s="9">
        <v>2.25760825899544</v>
      </c>
    </row>
    <row r="64" ht="15.0" customHeight="1">
      <c r="A64" s="5" t="s">
        <v>192</v>
      </c>
      <c r="B64" s="5" t="s">
        <v>193</v>
      </c>
      <c r="C64" s="5" t="s">
        <v>136</v>
      </c>
      <c r="D64" s="5" t="s">
        <v>52</v>
      </c>
      <c r="E64" s="5">
        <v>6.5</v>
      </c>
      <c r="F64" s="6">
        <v>0.935483871</v>
      </c>
      <c r="G64" s="5">
        <v>78.0</v>
      </c>
      <c r="H64" s="5">
        <v>2455.0</v>
      </c>
      <c r="I64" s="5" t="b">
        <v>1</v>
      </c>
      <c r="J64" s="5" t="b">
        <v>1</v>
      </c>
      <c r="K64" s="7">
        <v>74.44838709855</v>
      </c>
      <c r="L64" s="8">
        <v>0.07767316881726302</v>
      </c>
      <c r="M64" s="9">
        <f t="shared" si="1"/>
        <v>4.276497756</v>
      </c>
      <c r="N64" s="7">
        <f t="shared" si="2"/>
        <v>145.4009237</v>
      </c>
      <c r="O64" s="9">
        <f t="shared" si="3"/>
        <v>22.36937288</v>
      </c>
      <c r="P64" s="9">
        <v>4.311410995837853</v>
      </c>
      <c r="Q64" s="9">
        <v>3.951069995629739</v>
      </c>
      <c r="R64" s="9">
        <v>3.792191101547383</v>
      </c>
      <c r="S64" s="9">
        <v>4.747599889777609</v>
      </c>
      <c r="T64" s="9">
        <v>4.36902320714417</v>
      </c>
      <c r="U64" s="9">
        <v>4.33474890599532</v>
      </c>
      <c r="V64" s="9">
        <v>3.700882127669818</v>
      </c>
      <c r="W64" s="9">
        <v>4.352694885574313</v>
      </c>
      <c r="X64" s="9">
        <v>3.84604631174528</v>
      </c>
      <c r="Y64" s="9">
        <v>4.278211471168242</v>
      </c>
      <c r="Z64" s="9">
        <v>3.866526642777608</v>
      </c>
      <c r="AA64" s="9">
        <v>5.334027285428151</v>
      </c>
      <c r="AB64" s="9">
        <v>3.413034739823059</v>
      </c>
      <c r="AC64" s="9">
        <v>5.073330664827098</v>
      </c>
      <c r="AD64" s="9">
        <v>4.204033976110414</v>
      </c>
      <c r="AE64" s="9">
        <v>4.377592971935323</v>
      </c>
      <c r="AF64" s="9">
        <v>4.153598800864046</v>
      </c>
      <c r="AG64" s="9">
        <v>4.036901673084552</v>
      </c>
      <c r="AH64" s="9">
        <v>3.921290920218917</v>
      </c>
      <c r="AI64" s="9">
        <v>5.065030544664413</v>
      </c>
      <c r="AJ64" s="9">
        <v>3.722959414144993</v>
      </c>
      <c r="AK64" s="9">
        <v>4.306013931158631</v>
      </c>
      <c r="AL64" s="9">
        <v>3.370943506229374</v>
      </c>
      <c r="AM64" s="9">
        <v>4.499250875086799</v>
      </c>
      <c r="AN64" s="9">
        <v>4.478855118284936</v>
      </c>
      <c r="AO64" s="9">
        <v>4.427285277697098</v>
      </c>
      <c r="AP64" s="9">
        <v>3.586383704568154</v>
      </c>
      <c r="AQ64" s="9">
        <v>5.19824854112155</v>
      </c>
      <c r="AR64" s="9">
        <v>3.736055779839579</v>
      </c>
      <c r="AS64" s="9">
        <v>5.174840380220392</v>
      </c>
      <c r="AT64" s="9">
        <v>5.098294423863851</v>
      </c>
      <c r="AU64" s="9">
        <v>3.438548544571164</v>
      </c>
      <c r="AV64" s="9">
        <v>4.955859932981746</v>
      </c>
      <c r="AW64" s="9">
        <v>4.27813715711585</v>
      </c>
    </row>
    <row r="65" ht="15.0" customHeight="1">
      <c r="A65" s="5" t="s">
        <v>194</v>
      </c>
      <c r="B65" s="5" t="s">
        <v>195</v>
      </c>
      <c r="C65" s="5" t="s">
        <v>59</v>
      </c>
      <c r="D65" s="5" t="s">
        <v>83</v>
      </c>
      <c r="E65" s="5">
        <v>6.0</v>
      </c>
      <c r="F65" s="6">
        <v>0.6666666667</v>
      </c>
      <c r="G65" s="5">
        <v>81.0</v>
      </c>
      <c r="H65" s="5">
        <v>1501.0</v>
      </c>
      <c r="I65" s="5" t="b">
        <v>1</v>
      </c>
      <c r="J65" s="5" t="b">
        <v>0</v>
      </c>
      <c r="K65" s="7">
        <v>59.413333335492</v>
      </c>
      <c r="L65" s="8">
        <v>0.0726325704350065</v>
      </c>
      <c r="M65" s="9">
        <f t="shared" si="1"/>
        <v>2.729857061</v>
      </c>
      <c r="N65" s="7">
        <f t="shared" si="2"/>
        <v>92.81514008</v>
      </c>
      <c r="O65" s="9">
        <f t="shared" si="3"/>
        <v>15.46919001</v>
      </c>
      <c r="P65" s="9">
        <v>0.0</v>
      </c>
      <c r="Q65" s="9">
        <v>2.806827529961895</v>
      </c>
      <c r="R65" s="9">
        <v>0.0</v>
      </c>
      <c r="S65" s="9">
        <v>2.547398331252288</v>
      </c>
      <c r="T65" s="9">
        <v>2.4090703310665</v>
      </c>
      <c r="U65" s="9">
        <v>6.408271184042336</v>
      </c>
      <c r="V65" s="9">
        <v>3.262167121441468</v>
      </c>
      <c r="W65" s="9">
        <v>2.735659303417086</v>
      </c>
      <c r="X65" s="9">
        <v>2.307882330444318</v>
      </c>
      <c r="Y65" s="9">
        <v>2.710172981068556</v>
      </c>
      <c r="Z65" s="9">
        <v>2.755232135729036</v>
      </c>
      <c r="AA65" s="9">
        <v>2.24710823487693</v>
      </c>
      <c r="AB65" s="9">
        <v>3.543698325388552</v>
      </c>
      <c r="AC65" s="9">
        <v>2.170744272412378</v>
      </c>
      <c r="AD65" s="9">
        <v>2.932902807446192</v>
      </c>
      <c r="AE65" s="9">
        <v>3.566087400538948</v>
      </c>
      <c r="AF65" s="9">
        <v>2.80432483926341</v>
      </c>
      <c r="AG65" s="9">
        <v>3.056953722431683</v>
      </c>
      <c r="AH65" s="9">
        <v>2.747851666893175</v>
      </c>
      <c r="AI65" s="9">
        <v>3.035712552565955</v>
      </c>
      <c r="AJ65" s="9">
        <v>2.35595156920238</v>
      </c>
      <c r="AK65" s="9">
        <v>2.756923340940829</v>
      </c>
      <c r="AL65" s="9">
        <v>3.320518803293366</v>
      </c>
      <c r="AM65" s="9">
        <v>2.575623505262173</v>
      </c>
      <c r="AN65" s="9">
        <v>3.030063230309379</v>
      </c>
      <c r="AO65" s="9">
        <v>3.333715518751433</v>
      </c>
      <c r="AP65" s="9">
        <v>2.297235813442827</v>
      </c>
      <c r="AQ65" s="9">
        <v>2.669889124516048</v>
      </c>
      <c r="AR65" s="9">
        <v>2.46629596562415</v>
      </c>
      <c r="AS65" s="9">
        <v>2.043334809283859</v>
      </c>
      <c r="AT65" s="9">
        <v>3.344237643487495</v>
      </c>
      <c r="AU65" s="9">
        <v>2.315665934948733</v>
      </c>
      <c r="AV65" s="9">
        <v>3.208682762195148</v>
      </c>
      <c r="AW65" s="9">
        <v>3.048936983614461</v>
      </c>
    </row>
    <row r="66" ht="15.0" customHeight="1">
      <c r="A66" s="5" t="s">
        <v>196</v>
      </c>
      <c r="B66" s="5" t="s">
        <v>197</v>
      </c>
      <c r="C66" s="5" t="s">
        <v>59</v>
      </c>
      <c r="D66" s="5" t="s">
        <v>52</v>
      </c>
      <c r="E66" s="5">
        <v>8.5</v>
      </c>
      <c r="F66" s="6">
        <v>0.724137931</v>
      </c>
      <c r="G66" s="5">
        <v>77.0</v>
      </c>
      <c r="H66" s="5">
        <v>2129.0</v>
      </c>
      <c r="I66" s="5" t="b">
        <v>1</v>
      </c>
      <c r="J66" s="5" t="b">
        <v>0</v>
      </c>
      <c r="K66" s="7">
        <v>62.08965517055</v>
      </c>
      <c r="L66" s="8">
        <v>0.05697478107631887</v>
      </c>
      <c r="M66" s="9">
        <f t="shared" si="1"/>
        <v>2.486249319</v>
      </c>
      <c r="N66" s="7">
        <f t="shared" si="2"/>
        <v>84.53247685</v>
      </c>
      <c r="O66" s="9">
        <f t="shared" si="3"/>
        <v>9.944997277</v>
      </c>
      <c r="P66" s="9">
        <v>2.505530728776501</v>
      </c>
      <c r="Q66" s="9">
        <v>2.533353996807004</v>
      </c>
      <c r="R66" s="9">
        <v>0.0</v>
      </c>
      <c r="S66" s="9">
        <v>2.428285368466611</v>
      </c>
      <c r="T66" s="9">
        <v>2.319993840847674</v>
      </c>
      <c r="U66" s="9">
        <v>5.328882599603661</v>
      </c>
      <c r="V66" s="9">
        <v>2.727269970704853</v>
      </c>
      <c r="W66" s="9">
        <v>2.501803906321894</v>
      </c>
      <c r="X66" s="9">
        <v>2.246657865753405</v>
      </c>
      <c r="Y66" s="9">
        <v>2.399862260856766</v>
      </c>
      <c r="Z66" s="9">
        <v>2.437523385031197</v>
      </c>
      <c r="AA66" s="9">
        <v>2.144055648376459</v>
      </c>
      <c r="AB66" s="9">
        <v>2.785083232420525</v>
      </c>
      <c r="AC66" s="9">
        <v>2.139226640132633</v>
      </c>
      <c r="AD66" s="9">
        <v>2.516451830049444</v>
      </c>
      <c r="AE66" s="9">
        <v>2.824722511405972</v>
      </c>
      <c r="AF66" s="9">
        <v>2.527803209554574</v>
      </c>
      <c r="AG66" s="9">
        <v>2.54840887129285</v>
      </c>
      <c r="AH66" s="9">
        <v>2.485605726263572</v>
      </c>
      <c r="AI66" s="9">
        <v>2.719731383705352</v>
      </c>
      <c r="AJ66" s="9">
        <v>2.283458033454002</v>
      </c>
      <c r="AK66" s="9">
        <v>2.443652133181401</v>
      </c>
      <c r="AL66" s="9">
        <v>2.838107591217132</v>
      </c>
      <c r="AM66" s="9">
        <v>2.345152643580367</v>
      </c>
      <c r="AN66" s="9">
        <v>2.50226855996979</v>
      </c>
      <c r="AO66" s="9">
        <v>2.806727679106026</v>
      </c>
      <c r="AP66" s="9">
        <v>2.258461643211432</v>
      </c>
      <c r="AQ66" s="9">
        <v>2.34976323078676</v>
      </c>
      <c r="AR66" s="9">
        <v>2.27460778081139</v>
      </c>
      <c r="AS66" s="9">
        <v>2.119763843358329</v>
      </c>
      <c r="AT66" s="9">
        <v>2.775481812281004</v>
      </c>
      <c r="AU66" s="9">
        <v>2.211084424716285</v>
      </c>
      <c r="AV66" s="9">
        <v>2.671138770889522</v>
      </c>
      <c r="AW66" s="9">
        <v>2.532555729115811</v>
      </c>
    </row>
    <row r="67" ht="15.0" customHeight="1">
      <c r="A67" s="5" t="s">
        <v>198</v>
      </c>
      <c r="B67" s="5" t="s">
        <v>199</v>
      </c>
      <c r="C67" s="5" t="s">
        <v>67</v>
      </c>
      <c r="D67" s="5" t="s">
        <v>83</v>
      </c>
      <c r="E67" s="5">
        <v>5.5</v>
      </c>
      <c r="F67" s="6">
        <v>0.9696969697</v>
      </c>
      <c r="G67" s="5">
        <v>86.0</v>
      </c>
      <c r="H67" s="5">
        <v>2931.0</v>
      </c>
      <c r="I67" s="5" t="b">
        <v>1</v>
      </c>
      <c r="J67" s="5" t="b">
        <v>0</v>
      </c>
      <c r="K67" s="7">
        <v>83.88606060627201</v>
      </c>
      <c r="L67" s="8">
        <v>0.06644903009767288</v>
      </c>
      <c r="M67" s="9">
        <f t="shared" si="1"/>
        <v>3.314582028</v>
      </c>
      <c r="N67" s="7">
        <f t="shared" si="2"/>
        <v>112.6957889</v>
      </c>
      <c r="O67" s="9">
        <f t="shared" si="3"/>
        <v>20.49014344</v>
      </c>
      <c r="P67" s="9">
        <v>4.059300220246063</v>
      </c>
      <c r="Q67" s="9">
        <v>2.944412898987635</v>
      </c>
      <c r="R67" s="9">
        <v>3.33323954846068</v>
      </c>
      <c r="S67" s="9">
        <v>3.852393266289571</v>
      </c>
      <c r="T67" s="9">
        <v>2.833157933528941</v>
      </c>
      <c r="U67" s="9">
        <v>4.097972391317549</v>
      </c>
      <c r="V67" s="9">
        <v>3.561301414670623</v>
      </c>
      <c r="W67" s="9">
        <v>2.627380995955921</v>
      </c>
      <c r="X67" s="9">
        <v>3.551296810577606</v>
      </c>
      <c r="Y67" s="9">
        <v>3.156887578414519</v>
      </c>
      <c r="Z67" s="9">
        <v>2.855796303503953</v>
      </c>
      <c r="AA67" s="9">
        <v>3.250030069291263</v>
      </c>
      <c r="AB67" s="9">
        <v>3.202697242760467</v>
      </c>
      <c r="AC67" s="9">
        <v>3.323298958913081</v>
      </c>
      <c r="AD67" s="9">
        <v>2.891241737266267</v>
      </c>
      <c r="AE67" s="9">
        <v>3.239799380623976</v>
      </c>
      <c r="AF67" s="9">
        <v>3.254138967912551</v>
      </c>
      <c r="AG67" s="9">
        <v>3.314016671159037</v>
      </c>
      <c r="AH67" s="9">
        <v>3.310890987494232</v>
      </c>
      <c r="AI67" s="9">
        <v>3.436080828260363</v>
      </c>
      <c r="AJ67" s="9">
        <v>3.062254331974825</v>
      </c>
      <c r="AK67" s="9">
        <v>2.780044520295312</v>
      </c>
      <c r="AL67" s="9">
        <v>3.867266200584988</v>
      </c>
      <c r="AM67" s="9">
        <v>2.770299102535775</v>
      </c>
      <c r="AN67" s="9">
        <v>2.707000096327331</v>
      </c>
      <c r="AO67" s="9">
        <v>3.72341110926242</v>
      </c>
      <c r="AP67" s="9">
        <v>3.782119347802904</v>
      </c>
      <c r="AQ67" s="9">
        <v>2.491440491145704</v>
      </c>
      <c r="AR67" s="9">
        <v>3.561048344268078</v>
      </c>
      <c r="AS67" s="9">
        <v>4.085804184271444</v>
      </c>
      <c r="AT67" s="9">
        <v>3.043121682101674</v>
      </c>
      <c r="AU67" s="9">
        <v>3.336318487154656</v>
      </c>
      <c r="AV67" s="9">
        <v>3.861122592474965</v>
      </c>
      <c r="AW67" s="9">
        <v>3.5292042444781</v>
      </c>
    </row>
    <row r="68" ht="15.0" customHeight="1">
      <c r="A68" s="5" t="s">
        <v>200</v>
      </c>
      <c r="B68" s="5" t="s">
        <v>201</v>
      </c>
      <c r="C68" s="5" t="s">
        <v>141</v>
      </c>
      <c r="D68" s="5" t="s">
        <v>52</v>
      </c>
      <c r="E68" s="5">
        <v>5.5</v>
      </c>
      <c r="F68" s="6">
        <v>0.5333333333</v>
      </c>
      <c r="G68" s="10">
        <v>80.0</v>
      </c>
      <c r="H68" s="5">
        <v>1723.0</v>
      </c>
      <c r="I68" s="5" t="b">
        <v>1</v>
      </c>
      <c r="J68" s="5" t="b">
        <v>0</v>
      </c>
      <c r="K68" s="7">
        <v>53.376666664765</v>
      </c>
      <c r="L68" s="8">
        <v>0.07699173341582746</v>
      </c>
      <c r="M68" s="9">
        <f t="shared" si="1"/>
        <v>1.852515498</v>
      </c>
      <c r="N68" s="7">
        <f t="shared" si="2"/>
        <v>62.98552693</v>
      </c>
      <c r="O68" s="9">
        <f t="shared" si="3"/>
        <v>11.45191399</v>
      </c>
      <c r="P68" s="9">
        <v>1.881756679392861</v>
      </c>
      <c r="Q68" s="9">
        <v>1.877581242592552</v>
      </c>
      <c r="R68" s="9">
        <v>1.531185218059954</v>
      </c>
      <c r="S68" s="9">
        <v>2.101892980455306</v>
      </c>
      <c r="T68" s="9">
        <v>1.740612986710821</v>
      </c>
      <c r="U68" s="9">
        <v>1.881885064183846</v>
      </c>
      <c r="V68" s="9">
        <v>2.124427370244539</v>
      </c>
      <c r="W68" s="9">
        <v>1.816139454972687</v>
      </c>
      <c r="X68" s="9">
        <v>1.856103449075493</v>
      </c>
      <c r="Y68" s="9">
        <v>1.649516967506039</v>
      </c>
      <c r="Z68" s="9">
        <v>2.015147534270008</v>
      </c>
      <c r="AA68" s="9">
        <v>1.615236758433083</v>
      </c>
      <c r="AB68" s="9">
        <v>1.886181809898626</v>
      </c>
      <c r="AC68" s="9">
        <v>2.169858995926596</v>
      </c>
      <c r="AD68" s="9">
        <v>1.79147520508624</v>
      </c>
      <c r="AE68" s="9">
        <v>1.731228698670864</v>
      </c>
      <c r="AF68" s="9">
        <v>1.901375613928823</v>
      </c>
      <c r="AG68" s="9">
        <v>2.146884737432804</v>
      </c>
      <c r="AH68" s="9">
        <v>1.650082245837431</v>
      </c>
      <c r="AI68" s="9">
        <v>1.780517870078175</v>
      </c>
      <c r="AJ68" s="9">
        <v>1.85812040649689</v>
      </c>
      <c r="AK68" s="9">
        <v>1.811464055275797</v>
      </c>
      <c r="AL68" s="9">
        <v>1.866267628892977</v>
      </c>
      <c r="AM68" s="9">
        <v>1.913707167177482</v>
      </c>
      <c r="AN68" s="9">
        <v>2.039860846903895</v>
      </c>
      <c r="AO68" s="9">
        <v>1.671815615922797</v>
      </c>
      <c r="AP68" s="9">
        <v>1.702182478479317</v>
      </c>
      <c r="AQ68" s="9">
        <v>1.671696089254455</v>
      </c>
      <c r="AR68" s="9">
        <v>2.060498535217379</v>
      </c>
      <c r="AS68" s="9">
        <v>1.850488336600403</v>
      </c>
      <c r="AT68" s="9">
        <v>2.122622420557451</v>
      </c>
      <c r="AU68" s="9">
        <v>1.561087542006555</v>
      </c>
      <c r="AV68" s="9">
        <v>2.153630901650727</v>
      </c>
      <c r="AW68" s="9">
        <v>1.552994027414701</v>
      </c>
    </row>
    <row r="69" ht="15.0" customHeight="1">
      <c r="A69" s="5" t="s">
        <v>202</v>
      </c>
      <c r="B69" s="5" t="s">
        <v>203</v>
      </c>
      <c r="C69" s="5" t="s">
        <v>79</v>
      </c>
      <c r="D69" s="5" t="s">
        <v>52</v>
      </c>
      <c r="E69" s="5">
        <v>7.0</v>
      </c>
      <c r="F69" s="6">
        <v>1.0</v>
      </c>
      <c r="G69" s="5">
        <v>83.0</v>
      </c>
      <c r="H69" s="5">
        <v>2838.0</v>
      </c>
      <c r="I69" s="5" t="b">
        <v>1</v>
      </c>
      <c r="J69" s="5" t="b">
        <v>0</v>
      </c>
      <c r="K69" s="7">
        <v>83.0</v>
      </c>
      <c r="L69" s="8">
        <v>0.06362825571321393</v>
      </c>
      <c r="M69" s="9">
        <f t="shared" si="1"/>
        <v>2.856326206</v>
      </c>
      <c r="N69" s="7">
        <f t="shared" si="2"/>
        <v>97.11509101</v>
      </c>
      <c r="O69" s="9">
        <f t="shared" si="3"/>
        <v>13.87358443</v>
      </c>
      <c r="P69" s="9">
        <v>2.662334061531465</v>
      </c>
      <c r="Q69" s="9">
        <v>3.128227377390049</v>
      </c>
      <c r="R69" s="9">
        <v>0.0</v>
      </c>
      <c r="S69" s="9">
        <v>2.904918924513928</v>
      </c>
      <c r="T69" s="9">
        <v>5.674141072710036</v>
      </c>
      <c r="U69" s="9">
        <v>3.12343534556289</v>
      </c>
      <c r="V69" s="9">
        <v>2.694684327633989</v>
      </c>
      <c r="W69" s="9">
        <v>2.852738439611929</v>
      </c>
      <c r="X69" s="9">
        <v>2.884907754672742</v>
      </c>
      <c r="Y69" s="9">
        <v>2.604967609808845</v>
      </c>
      <c r="Z69" s="9">
        <v>2.817417787778</v>
      </c>
      <c r="AA69" s="9">
        <v>2.858376813865001</v>
      </c>
      <c r="AB69" s="9">
        <v>3.170735762388369</v>
      </c>
      <c r="AC69" s="9">
        <v>2.637650164686732</v>
      </c>
      <c r="AD69" s="9">
        <v>2.883735178287153</v>
      </c>
      <c r="AE69" s="9">
        <v>3.018942242369512</v>
      </c>
      <c r="AF69" s="9">
        <v>2.535949518993736</v>
      </c>
      <c r="AG69" s="9">
        <v>3.105365538660395</v>
      </c>
      <c r="AH69" s="9">
        <v>2.666918820625165</v>
      </c>
      <c r="AI69" s="9">
        <v>2.888060065129791</v>
      </c>
      <c r="AJ69" s="9">
        <v>3.154463721640321</v>
      </c>
      <c r="AK69" s="9">
        <v>2.505232496876101</v>
      </c>
      <c r="AL69" s="9">
        <v>3.064314588401177</v>
      </c>
      <c r="AM69" s="9">
        <v>2.881003857955676</v>
      </c>
      <c r="AN69" s="9">
        <v>2.812727380079452</v>
      </c>
      <c r="AO69" s="9">
        <v>2.917312713287484</v>
      </c>
      <c r="AP69" s="9">
        <v>3.151012036550847</v>
      </c>
      <c r="AQ69" s="9">
        <v>2.642208666524797</v>
      </c>
      <c r="AR69" s="9">
        <v>2.787967479477139</v>
      </c>
      <c r="AS69" s="9">
        <v>2.85889822996091</v>
      </c>
      <c r="AT69" s="9">
        <v>2.781119335658401</v>
      </c>
      <c r="AU69" s="9">
        <v>2.847864513683506</v>
      </c>
      <c r="AV69" s="9">
        <v>2.729109300125718</v>
      </c>
      <c r="AW69" s="9">
        <v>2.8683498804555</v>
      </c>
    </row>
    <row r="70" ht="15.0" customHeight="1">
      <c r="A70" s="5" t="s">
        <v>204</v>
      </c>
      <c r="B70" s="5" t="s">
        <v>205</v>
      </c>
      <c r="C70" s="5" t="s">
        <v>124</v>
      </c>
      <c r="D70" s="5" t="s">
        <v>83</v>
      </c>
      <c r="E70" s="5">
        <v>5.0</v>
      </c>
      <c r="F70" s="6"/>
      <c r="G70" s="10"/>
      <c r="H70" s="5">
        <v>2563.0</v>
      </c>
      <c r="I70" s="5" t="b">
        <v>1</v>
      </c>
      <c r="J70" s="5" t="b">
        <v>0</v>
      </c>
      <c r="K70" s="7">
        <v>80.76</v>
      </c>
      <c r="L70" s="8">
        <v>0.0640091897808187</v>
      </c>
      <c r="M70" s="9">
        <f t="shared" si="1"/>
        <v>3.509123539</v>
      </c>
      <c r="N70" s="7">
        <f t="shared" si="2"/>
        <v>119.3102003</v>
      </c>
      <c r="O70" s="9">
        <f t="shared" si="3"/>
        <v>23.86204006</v>
      </c>
      <c r="P70" s="9">
        <v>2.945086237069305</v>
      </c>
      <c r="Q70" s="9">
        <v>3.436500765239397</v>
      </c>
      <c r="R70" s="9">
        <v>3.375879955904655</v>
      </c>
      <c r="S70" s="9">
        <v>3.074348208083692</v>
      </c>
      <c r="T70" s="9">
        <v>4.154052768057878</v>
      </c>
      <c r="U70" s="9">
        <v>3.441613667792001</v>
      </c>
      <c r="V70" s="9">
        <v>2.765107754744943</v>
      </c>
      <c r="W70" s="9">
        <v>4.374194093858529</v>
      </c>
      <c r="X70" s="9">
        <v>2.832185449238169</v>
      </c>
      <c r="Y70" s="9">
        <v>4.146318021350256</v>
      </c>
      <c r="Z70" s="9">
        <v>3.255940946980473</v>
      </c>
      <c r="AA70" s="9">
        <v>3.458698959365683</v>
      </c>
      <c r="AB70" s="9">
        <v>4.353260402931339</v>
      </c>
      <c r="AC70" s="9">
        <v>3.707091856998</v>
      </c>
      <c r="AD70" s="9">
        <v>3.010323987064606</v>
      </c>
      <c r="AE70" s="9">
        <v>4.136408598245569</v>
      </c>
      <c r="AF70" s="9">
        <v>3.53763570342305</v>
      </c>
      <c r="AG70" s="9">
        <v>3.531596459464161</v>
      </c>
      <c r="AH70" s="9">
        <v>3.311798576748903</v>
      </c>
      <c r="AI70" s="9">
        <v>2.930200308962025</v>
      </c>
      <c r="AJ70" s="9">
        <v>4.038174396554491</v>
      </c>
      <c r="AK70" s="9">
        <v>3.741224131561506</v>
      </c>
      <c r="AL70" s="9">
        <v>4.310530980929284</v>
      </c>
      <c r="AM70" s="9">
        <v>3.528928138558799</v>
      </c>
      <c r="AN70" s="9">
        <v>2.646407000173255</v>
      </c>
      <c r="AO70" s="9">
        <v>3.459219835810212</v>
      </c>
      <c r="AP70" s="9">
        <v>3.9593008871805</v>
      </c>
      <c r="AQ70" s="9">
        <v>3.757519565864923</v>
      </c>
      <c r="AR70" s="9">
        <v>3.535235073259624</v>
      </c>
      <c r="AS70" s="9">
        <v>3.532186976453057</v>
      </c>
      <c r="AT70" s="9">
        <v>3.007669954448059</v>
      </c>
      <c r="AU70" s="9">
        <v>3.229648434763105</v>
      </c>
      <c r="AV70" s="9">
        <v>3.842664518985726</v>
      </c>
      <c r="AW70" s="9">
        <v>2.943247699551337</v>
      </c>
    </row>
    <row r="71" ht="15.0" customHeight="1">
      <c r="A71" s="5" t="s">
        <v>206</v>
      </c>
      <c r="B71" s="5" t="s">
        <v>207</v>
      </c>
      <c r="C71" s="5" t="s">
        <v>64</v>
      </c>
      <c r="D71" s="5" t="s">
        <v>103</v>
      </c>
      <c r="E71" s="5">
        <v>5.0</v>
      </c>
      <c r="F71" s="6">
        <v>1.0</v>
      </c>
      <c r="G71" s="5">
        <v>90.0</v>
      </c>
      <c r="H71" s="5">
        <v>3062.0</v>
      </c>
      <c r="I71" s="5" t="b">
        <v>1</v>
      </c>
      <c r="J71" s="5" t="b">
        <v>0</v>
      </c>
      <c r="K71" s="7">
        <v>90.0</v>
      </c>
      <c r="L71" s="8">
        <v>0.06759791763393995</v>
      </c>
      <c r="M71" s="9">
        <f t="shared" si="1"/>
        <v>3.885020247</v>
      </c>
      <c r="N71" s="7">
        <f t="shared" si="2"/>
        <v>132.0906884</v>
      </c>
      <c r="O71" s="9">
        <f t="shared" si="3"/>
        <v>26.41813768</v>
      </c>
      <c r="P71" s="9">
        <v>3.936595281202852</v>
      </c>
      <c r="Q71" s="9">
        <v>3.966563997862339</v>
      </c>
      <c r="R71" s="9">
        <v>4.047237220301019</v>
      </c>
      <c r="S71" s="9">
        <v>3.865333412726544</v>
      </c>
      <c r="T71" s="9">
        <v>3.786125583569204</v>
      </c>
      <c r="U71" s="9">
        <v>3.964626621763654</v>
      </c>
      <c r="V71" s="9">
        <v>4.062778233658786</v>
      </c>
      <c r="W71" s="9">
        <v>3.728563184280526</v>
      </c>
      <c r="X71" s="9">
        <v>4.084828134307604</v>
      </c>
      <c r="Y71" s="9">
        <v>3.838558096695071</v>
      </c>
      <c r="Z71" s="9">
        <v>3.719385163711259</v>
      </c>
      <c r="AA71" s="9">
        <v>3.753953458238857</v>
      </c>
      <c r="AB71" s="9">
        <v>3.733249553864375</v>
      </c>
      <c r="AC71" s="9">
        <v>3.820197814964873</v>
      </c>
      <c r="AD71" s="9">
        <v>3.831378106204019</v>
      </c>
      <c r="AE71" s="9">
        <v>3.711349875267912</v>
      </c>
      <c r="AF71" s="9">
        <v>4.200657924989168</v>
      </c>
      <c r="AG71" s="9">
        <v>4.207715315560249</v>
      </c>
      <c r="AH71" s="9">
        <v>3.77068672869008</v>
      </c>
      <c r="AI71" s="9">
        <v>4.210252617862222</v>
      </c>
      <c r="AJ71" s="9">
        <v>3.707425276626978</v>
      </c>
      <c r="AK71" s="9">
        <v>3.675473130727564</v>
      </c>
      <c r="AL71" s="9">
        <v>4.026857279759691</v>
      </c>
      <c r="AM71" s="9">
        <v>3.845705139834652</v>
      </c>
      <c r="AN71" s="9">
        <v>3.872728205882851</v>
      </c>
      <c r="AO71" s="9">
        <v>3.845824827867466</v>
      </c>
      <c r="AP71" s="9">
        <v>3.872947399054547</v>
      </c>
      <c r="AQ71" s="9">
        <v>3.85709440623503</v>
      </c>
      <c r="AR71" s="9">
        <v>3.857590004626744</v>
      </c>
      <c r="AS71" s="9">
        <v>3.695247976665735</v>
      </c>
      <c r="AT71" s="9">
        <v>4.074446256407271</v>
      </c>
      <c r="AU71" s="9">
        <v>3.959219479869357</v>
      </c>
      <c r="AV71" s="9">
        <v>3.647442624544522</v>
      </c>
      <c r="AW71" s="9">
        <v>3.912650077943169</v>
      </c>
    </row>
    <row r="72" ht="15.0" customHeight="1">
      <c r="A72" s="5" t="s">
        <v>208</v>
      </c>
      <c r="B72" s="5" t="s">
        <v>209</v>
      </c>
      <c r="C72" s="5" t="s">
        <v>100</v>
      </c>
      <c r="D72" s="5" t="s">
        <v>83</v>
      </c>
      <c r="E72" s="5">
        <v>4.5</v>
      </c>
      <c r="F72" s="6">
        <v>0.59375</v>
      </c>
      <c r="G72" s="5">
        <v>81.0</v>
      </c>
      <c r="H72" s="5">
        <v>2033.0</v>
      </c>
      <c r="I72" s="5" t="b">
        <v>1</v>
      </c>
      <c r="J72" s="5" t="b">
        <v>0</v>
      </c>
      <c r="K72" s="7">
        <v>54.69125</v>
      </c>
      <c r="L72" s="8">
        <v>0.0688861002395867</v>
      </c>
      <c r="M72" s="9">
        <f t="shared" si="1"/>
        <v>2.139730034</v>
      </c>
      <c r="N72" s="7">
        <f t="shared" si="2"/>
        <v>72.75082116</v>
      </c>
      <c r="O72" s="9">
        <f t="shared" si="3"/>
        <v>16.16684915</v>
      </c>
      <c r="P72" s="9">
        <v>2.161086089475455</v>
      </c>
      <c r="Q72" s="9">
        <v>1.700431547365178</v>
      </c>
      <c r="R72" s="9">
        <v>1.789410556641178</v>
      </c>
      <c r="S72" s="9">
        <v>2.084254517064475</v>
      </c>
      <c r="T72" s="9">
        <v>2.05515860951318</v>
      </c>
      <c r="U72" s="9">
        <v>1.948512468410633</v>
      </c>
      <c r="V72" s="9">
        <v>1.753490148409815</v>
      </c>
      <c r="W72" s="9">
        <v>2.833050801575945</v>
      </c>
      <c r="X72" s="9">
        <v>2.600342629995315</v>
      </c>
      <c r="Y72" s="9">
        <v>1.862440622943673</v>
      </c>
      <c r="Z72" s="9">
        <v>2.810508385961055</v>
      </c>
      <c r="AA72" s="9">
        <v>2.351354197348888</v>
      </c>
      <c r="AB72" s="9">
        <v>1.937549603103657</v>
      </c>
      <c r="AC72" s="9">
        <v>2.093629812922495</v>
      </c>
      <c r="AD72" s="9">
        <v>2.158694182230699</v>
      </c>
      <c r="AE72" s="9">
        <v>2.542655284442513</v>
      </c>
      <c r="AF72" s="9">
        <v>1.580741644073674</v>
      </c>
      <c r="AG72" s="9">
        <v>2.243661442026709</v>
      </c>
      <c r="AH72" s="9">
        <v>2.325402462322804</v>
      </c>
      <c r="AI72" s="9">
        <v>1.653820711608999</v>
      </c>
      <c r="AJ72" s="9">
        <v>2.619903953037273</v>
      </c>
      <c r="AK72" s="9">
        <v>2.140093994445448</v>
      </c>
      <c r="AL72" s="9">
        <v>2.092172409597824</v>
      </c>
      <c r="AM72" s="9">
        <v>2.343496078036786</v>
      </c>
      <c r="AN72" s="9">
        <v>2.843076560219925</v>
      </c>
      <c r="AO72" s="9">
        <v>1.801821702683131</v>
      </c>
      <c r="AP72" s="9">
        <v>2.142546149257599</v>
      </c>
      <c r="AQ72" s="9">
        <v>2.095493866041462</v>
      </c>
      <c r="AR72" s="9">
        <v>1.829196546586393</v>
      </c>
      <c r="AS72" s="9">
        <v>2.343606727281574</v>
      </c>
      <c r="AT72" s="9">
        <v>1.748542484627412</v>
      </c>
      <c r="AU72" s="9">
        <v>2.491830935132576</v>
      </c>
      <c r="AV72" s="9">
        <v>1.753349121446488</v>
      </c>
      <c r="AW72" s="9">
        <v>2.019494917391074</v>
      </c>
    </row>
    <row r="73" ht="15.0" customHeight="1">
      <c r="A73" s="5" t="s">
        <v>210</v>
      </c>
      <c r="B73" s="5" t="s">
        <v>211</v>
      </c>
      <c r="C73" s="5" t="s">
        <v>51</v>
      </c>
      <c r="D73" s="5" t="s">
        <v>52</v>
      </c>
      <c r="E73" s="5">
        <v>12.0</v>
      </c>
      <c r="F73" s="6">
        <v>0.8620689655</v>
      </c>
      <c r="G73" s="5">
        <v>83.0</v>
      </c>
      <c r="H73" s="5">
        <v>2383.0</v>
      </c>
      <c r="I73" s="5" t="b">
        <v>1</v>
      </c>
      <c r="J73" s="5" t="b">
        <v>0</v>
      </c>
      <c r="K73" s="7">
        <v>74.717241378275</v>
      </c>
      <c r="L73" s="8">
        <v>0.08912757397882298</v>
      </c>
      <c r="M73" s="9">
        <f t="shared" si="1"/>
        <v>4.668099088</v>
      </c>
      <c r="N73" s="7">
        <f t="shared" si="2"/>
        <v>158.715369</v>
      </c>
      <c r="O73" s="9">
        <f t="shared" si="3"/>
        <v>13.22628075</v>
      </c>
      <c r="P73" s="9">
        <v>5.468760248884257</v>
      </c>
      <c r="Q73" s="9">
        <v>4.510509151067882</v>
      </c>
      <c r="R73" s="9">
        <v>4.698443378446687</v>
      </c>
      <c r="S73" s="9">
        <v>4.012540697284241</v>
      </c>
      <c r="T73" s="9">
        <v>3.983782309866756</v>
      </c>
      <c r="U73" s="9">
        <v>5.128480266448553</v>
      </c>
      <c r="V73" s="9">
        <v>3.621995130217291</v>
      </c>
      <c r="W73" s="9">
        <v>4.857187480305542</v>
      </c>
      <c r="X73" s="9">
        <v>4.544432117603851</v>
      </c>
      <c r="Y73" s="9">
        <v>4.230088543723229</v>
      </c>
      <c r="Z73" s="9">
        <v>5.582958135845963</v>
      </c>
      <c r="AA73" s="9">
        <v>4.659808970457429</v>
      </c>
      <c r="AB73" s="9">
        <v>4.07507829125594</v>
      </c>
      <c r="AC73" s="9">
        <v>5.758074069429759</v>
      </c>
      <c r="AD73" s="9">
        <v>3.857014918046476</v>
      </c>
      <c r="AE73" s="9">
        <v>5.477271210233471</v>
      </c>
      <c r="AF73" s="9">
        <v>5.612051901310299</v>
      </c>
      <c r="AG73" s="9">
        <v>3.660194612974048</v>
      </c>
      <c r="AH73" s="9">
        <v>4.621017677738026</v>
      </c>
      <c r="AI73" s="9">
        <v>5.348016607701305</v>
      </c>
      <c r="AJ73" s="9">
        <v>4.721699037216941</v>
      </c>
      <c r="AK73" s="9">
        <v>4.17529218136034</v>
      </c>
      <c r="AL73" s="9">
        <v>5.500800948113736</v>
      </c>
      <c r="AM73" s="9">
        <v>4.359072502701373</v>
      </c>
      <c r="AN73" s="9">
        <v>4.683602685095084</v>
      </c>
      <c r="AO73" s="9">
        <v>4.610214376150307</v>
      </c>
      <c r="AP73" s="9">
        <v>4.016056920159126</v>
      </c>
      <c r="AQ73" s="9">
        <v>4.48545449280949</v>
      </c>
      <c r="AR73" s="9">
        <v>4.727193829180299</v>
      </c>
      <c r="AS73" s="9">
        <v>4.650865457699737</v>
      </c>
      <c r="AT73" s="9">
        <v>4.835268811592423</v>
      </c>
      <c r="AU73" s="9">
        <v>5.32729357206602</v>
      </c>
      <c r="AV73" s="9">
        <v>4.777901911237532</v>
      </c>
      <c r="AW73" s="9">
        <v>4.136946538532289</v>
      </c>
    </row>
    <row r="74" ht="15.0" customHeight="1">
      <c r="A74" s="5" t="s">
        <v>212</v>
      </c>
      <c r="B74" s="5" t="s">
        <v>213</v>
      </c>
      <c r="C74" s="5" t="s">
        <v>76</v>
      </c>
      <c r="D74" s="5" t="s">
        <v>52</v>
      </c>
      <c r="E74" s="5">
        <v>7.0</v>
      </c>
      <c r="F74" s="6">
        <v>0.9666666667</v>
      </c>
      <c r="G74" s="5">
        <v>82.0</v>
      </c>
      <c r="H74" s="5">
        <v>2568.0</v>
      </c>
      <c r="I74" s="5" t="b">
        <v>1</v>
      </c>
      <c r="J74" s="5" t="b">
        <v>0</v>
      </c>
      <c r="K74" s="7">
        <v>80.031666668635</v>
      </c>
      <c r="L74" s="8">
        <v>0.06148026283812524</v>
      </c>
      <c r="M74" s="9">
        <f t="shared" si="1"/>
        <v>3.554281377</v>
      </c>
      <c r="N74" s="7">
        <f t="shared" si="2"/>
        <v>120.8455668</v>
      </c>
      <c r="O74" s="9">
        <f t="shared" si="3"/>
        <v>17.2636524</v>
      </c>
      <c r="P74" s="9">
        <v>3.286940712280908</v>
      </c>
      <c r="Q74" s="9">
        <v>3.158443545703072</v>
      </c>
      <c r="R74" s="9">
        <v>4.134882084570568</v>
      </c>
      <c r="S74" s="9">
        <v>3.621745204834431</v>
      </c>
      <c r="T74" s="9">
        <v>3.463703318498804</v>
      </c>
      <c r="U74" s="9">
        <v>4.030560874074342</v>
      </c>
      <c r="V74" s="9">
        <v>3.390724125188195</v>
      </c>
      <c r="W74" s="9">
        <v>2.967065445145798</v>
      </c>
      <c r="X74" s="9">
        <v>3.972458782705645</v>
      </c>
      <c r="Y74" s="9">
        <v>3.522595245033954</v>
      </c>
      <c r="Z74" s="9">
        <v>3.62124587594688</v>
      </c>
      <c r="AA74" s="9">
        <v>3.308555943437411</v>
      </c>
      <c r="AB74" s="9">
        <v>3.170696095391303</v>
      </c>
      <c r="AC74" s="9">
        <v>3.544744891149698</v>
      </c>
      <c r="AD74" s="9">
        <v>4.100466816474525</v>
      </c>
      <c r="AE74" s="9">
        <v>4.212781948627511</v>
      </c>
      <c r="AF74" s="9">
        <v>3.180794683825375</v>
      </c>
      <c r="AG74" s="9">
        <v>3.084313201360858</v>
      </c>
      <c r="AH74" s="9">
        <v>3.858717892505028</v>
      </c>
      <c r="AI74" s="9">
        <v>2.950974299060838</v>
      </c>
      <c r="AJ74" s="9">
        <v>3.561209233048497</v>
      </c>
      <c r="AK74" s="9">
        <v>3.513564818305613</v>
      </c>
      <c r="AL74" s="9">
        <v>4.146186201280791</v>
      </c>
      <c r="AM74" s="9">
        <v>3.477507313569855</v>
      </c>
      <c r="AN74" s="9">
        <v>2.966833805556505</v>
      </c>
      <c r="AO74" s="9">
        <v>4.058193402700446</v>
      </c>
      <c r="AP74" s="9">
        <v>3.601356129428804</v>
      </c>
      <c r="AQ74" s="9">
        <v>3.579057674321522</v>
      </c>
      <c r="AR74" s="9">
        <v>3.202219732451584</v>
      </c>
      <c r="AS74" s="9">
        <v>4.014989311387874</v>
      </c>
      <c r="AT74" s="9">
        <v>3.58854412952545</v>
      </c>
      <c r="AU74" s="9">
        <v>3.587268721095033</v>
      </c>
      <c r="AV74" s="9">
        <v>3.6587930508612</v>
      </c>
      <c r="AW74" s="9">
        <v>3.307432302113642</v>
      </c>
    </row>
    <row r="75" ht="15.0" customHeight="1">
      <c r="A75" s="5" t="s">
        <v>214</v>
      </c>
      <c r="B75" s="5" t="s">
        <v>215</v>
      </c>
      <c r="C75" s="5" t="s">
        <v>95</v>
      </c>
      <c r="D75" s="5" t="s">
        <v>83</v>
      </c>
      <c r="E75" s="5">
        <v>4.5</v>
      </c>
      <c r="F75" s="6">
        <v>0.8965517241</v>
      </c>
      <c r="G75" s="5">
        <v>84.0</v>
      </c>
      <c r="H75" s="5">
        <v>2365.0</v>
      </c>
      <c r="I75" s="5" t="b">
        <v>1</v>
      </c>
      <c r="J75" s="5" t="b">
        <v>0</v>
      </c>
      <c r="K75" s="7">
        <v>76.990344825016</v>
      </c>
      <c r="L75" s="8">
        <v>0.07631125069275428</v>
      </c>
      <c r="M75" s="9">
        <f t="shared" si="1"/>
        <v>3.089085173</v>
      </c>
      <c r="N75" s="7">
        <f t="shared" si="2"/>
        <v>105.0288959</v>
      </c>
      <c r="O75" s="9">
        <f t="shared" si="3"/>
        <v>23.33975464</v>
      </c>
      <c r="P75" s="9">
        <v>2.868087958513112</v>
      </c>
      <c r="Q75" s="9">
        <v>2.858938887304658</v>
      </c>
      <c r="R75" s="9">
        <v>3.211243757816241</v>
      </c>
      <c r="S75" s="9">
        <v>3.042129719179238</v>
      </c>
      <c r="T75" s="9">
        <v>3.62656995853419</v>
      </c>
      <c r="U75" s="9">
        <v>2.400273437376177</v>
      </c>
      <c r="V75" s="9">
        <v>3.100910148938923</v>
      </c>
      <c r="W75" s="9">
        <v>3.097789229695526</v>
      </c>
      <c r="X75" s="9">
        <v>3.865769486522112</v>
      </c>
      <c r="Y75" s="9">
        <v>3.118599557558667</v>
      </c>
      <c r="Z75" s="9">
        <v>2.628584075978786</v>
      </c>
      <c r="AA75" s="9">
        <v>3.298078652402817</v>
      </c>
      <c r="AB75" s="9">
        <v>3.039630660557214</v>
      </c>
      <c r="AC75" s="9">
        <v>3.320026625648259</v>
      </c>
      <c r="AD75" s="9">
        <v>3.033114203587695</v>
      </c>
      <c r="AE75" s="9">
        <v>2.560109844919886</v>
      </c>
      <c r="AF75" s="9">
        <v>3.115420965783673</v>
      </c>
      <c r="AG75" s="9">
        <v>3.547618509605669</v>
      </c>
      <c r="AH75" s="9">
        <v>2.674275717425772</v>
      </c>
      <c r="AI75" s="9">
        <v>3.041086061830975</v>
      </c>
      <c r="AJ75" s="9">
        <v>3.336093351186413</v>
      </c>
      <c r="AK75" s="9">
        <v>3.329794752330719</v>
      </c>
      <c r="AL75" s="9">
        <v>2.622440752736533</v>
      </c>
      <c r="AM75" s="9">
        <v>2.724354252890719</v>
      </c>
      <c r="AN75" s="9">
        <v>3.853386411541399</v>
      </c>
      <c r="AO75" s="9">
        <v>2.627881943920196</v>
      </c>
      <c r="AP75" s="9">
        <v>2.763214476872902</v>
      </c>
      <c r="AQ75" s="9">
        <v>3.826379101461085</v>
      </c>
      <c r="AR75" s="9">
        <v>3.618410224733871</v>
      </c>
      <c r="AS75" s="9">
        <v>2.499602149620805</v>
      </c>
      <c r="AT75" s="9">
        <v>2.950200642704055</v>
      </c>
      <c r="AU75" s="9">
        <v>3.107655226313565</v>
      </c>
      <c r="AV75" s="9">
        <v>2.688945996587766</v>
      </c>
      <c r="AW75" s="9">
        <v>3.63227913165538</v>
      </c>
    </row>
    <row r="76" ht="15.0" customHeight="1">
      <c r="A76" s="5" t="s">
        <v>216</v>
      </c>
      <c r="B76" s="5" t="s">
        <v>217</v>
      </c>
      <c r="C76" s="5" t="s">
        <v>95</v>
      </c>
      <c r="D76" s="5" t="s">
        <v>52</v>
      </c>
      <c r="E76" s="5">
        <v>6.5</v>
      </c>
      <c r="F76" s="6">
        <v>1.0</v>
      </c>
      <c r="G76" s="5">
        <v>80.0</v>
      </c>
      <c r="H76" s="5">
        <v>2539.0</v>
      </c>
      <c r="I76" s="5" t="b">
        <v>1</v>
      </c>
      <c r="J76" s="5" t="b">
        <v>0</v>
      </c>
      <c r="K76" s="7">
        <v>80.0</v>
      </c>
      <c r="L76" s="8">
        <v>0.0989706485785764</v>
      </c>
      <c r="M76" s="9">
        <f t="shared" si="1"/>
        <v>3.735090356</v>
      </c>
      <c r="N76" s="7">
        <f t="shared" si="2"/>
        <v>126.9930721</v>
      </c>
      <c r="O76" s="9">
        <f t="shared" si="3"/>
        <v>19.53739571</v>
      </c>
      <c r="P76" s="9">
        <v>3.48419742446558</v>
      </c>
      <c r="Q76" s="9">
        <v>3.70613221305122</v>
      </c>
      <c r="R76" s="9">
        <v>3.779127022628512</v>
      </c>
      <c r="S76" s="9">
        <v>3.662649655336611</v>
      </c>
      <c r="T76" s="9">
        <v>4.36197416769603</v>
      </c>
      <c r="U76" s="9">
        <v>3.13012230300263</v>
      </c>
      <c r="V76" s="9">
        <v>3.870362119230197</v>
      </c>
      <c r="W76" s="9">
        <v>3.85728159428114</v>
      </c>
      <c r="X76" s="9">
        <v>4.371305455228803</v>
      </c>
      <c r="Y76" s="9">
        <v>3.751434614775557</v>
      </c>
      <c r="Z76" s="9">
        <v>3.342060704098609</v>
      </c>
      <c r="AA76" s="9">
        <v>3.70639556707513</v>
      </c>
      <c r="AB76" s="9">
        <v>3.647791349738416</v>
      </c>
      <c r="AC76" s="9">
        <v>3.775823210033684</v>
      </c>
      <c r="AD76" s="9">
        <v>3.818158942447212</v>
      </c>
      <c r="AE76" s="9">
        <v>3.106424619845618</v>
      </c>
      <c r="AF76" s="9">
        <v>3.733717773453631</v>
      </c>
      <c r="AG76" s="9">
        <v>4.18788996908906</v>
      </c>
      <c r="AH76" s="9">
        <v>3.415858038534086</v>
      </c>
      <c r="AI76" s="9">
        <v>3.772390812582018</v>
      </c>
      <c r="AJ76" s="9">
        <v>4.25401093474965</v>
      </c>
      <c r="AK76" s="9">
        <v>3.812866632306572</v>
      </c>
      <c r="AL76" s="9">
        <v>3.376407617277819</v>
      </c>
      <c r="AM76" s="9">
        <v>3.487020221250198</v>
      </c>
      <c r="AN76" s="9">
        <v>4.322158409305729</v>
      </c>
      <c r="AO76" s="9">
        <v>3.248547339716297</v>
      </c>
      <c r="AP76" s="9">
        <v>3.348854596836045</v>
      </c>
      <c r="AQ76" s="9">
        <v>4.230313036029256</v>
      </c>
      <c r="AR76" s="9">
        <v>4.446105405343635</v>
      </c>
      <c r="AS76" s="9">
        <v>3.125790826681969</v>
      </c>
      <c r="AT76" s="9">
        <v>3.458823457229123</v>
      </c>
      <c r="AU76" s="9">
        <v>3.795026191160865</v>
      </c>
      <c r="AV76" s="9">
        <v>3.326858460829766</v>
      </c>
      <c r="AW76" s="9">
        <v>4.279191406669844</v>
      </c>
    </row>
    <row r="77" ht="15.0" customHeight="1">
      <c r="A77" s="5" t="s">
        <v>218</v>
      </c>
      <c r="B77" s="5" t="s">
        <v>219</v>
      </c>
      <c r="C77" s="5" t="s">
        <v>136</v>
      </c>
      <c r="D77" s="5" t="s">
        <v>83</v>
      </c>
      <c r="E77" s="5">
        <v>4.5</v>
      </c>
      <c r="F77" s="6">
        <v>1.0</v>
      </c>
      <c r="G77" s="10">
        <v>90.0</v>
      </c>
      <c r="H77" s="5">
        <v>3290.0</v>
      </c>
      <c r="I77" s="5" t="b">
        <v>1</v>
      </c>
      <c r="J77" s="5" t="b">
        <v>0</v>
      </c>
      <c r="K77" s="7">
        <v>90.0</v>
      </c>
      <c r="L77" s="8">
        <v>0.06277620298435062</v>
      </c>
      <c r="M77" s="9">
        <f t="shared" si="1"/>
        <v>3.151802344</v>
      </c>
      <c r="N77" s="7">
        <f t="shared" si="2"/>
        <v>107.1612797</v>
      </c>
      <c r="O77" s="9">
        <f t="shared" si="3"/>
        <v>23.81361771</v>
      </c>
      <c r="P77" s="9">
        <v>3.369070319623072</v>
      </c>
      <c r="Q77" s="9">
        <v>2.803496999414007</v>
      </c>
      <c r="R77" s="9">
        <v>2.706233035938973</v>
      </c>
      <c r="S77" s="9">
        <v>3.543617812773151</v>
      </c>
      <c r="T77" s="9">
        <v>3.380098012893015</v>
      </c>
      <c r="U77" s="9">
        <v>3.266662851265138</v>
      </c>
      <c r="V77" s="9">
        <v>2.762404491390881</v>
      </c>
      <c r="W77" s="9">
        <v>3.107770273203444</v>
      </c>
      <c r="X77" s="9">
        <v>2.754581854531308</v>
      </c>
      <c r="Y77" s="9">
        <v>3.174752668867626</v>
      </c>
      <c r="Z77" s="9">
        <v>3.007283248384453</v>
      </c>
      <c r="AA77" s="9">
        <v>3.684639604874157</v>
      </c>
      <c r="AB77" s="9">
        <v>2.582843758886837</v>
      </c>
      <c r="AC77" s="9">
        <v>3.407487405159303</v>
      </c>
      <c r="AD77" s="9">
        <v>3.344957450657195</v>
      </c>
      <c r="AE77" s="9">
        <v>3.170670219429395</v>
      </c>
      <c r="AF77" s="9">
        <v>3.099891578596406</v>
      </c>
      <c r="AG77" s="9">
        <v>3.053397396091807</v>
      </c>
      <c r="AH77" s="9">
        <v>2.933322860974974</v>
      </c>
      <c r="AI77" s="9">
        <v>3.690336496962475</v>
      </c>
      <c r="AJ77" s="9">
        <v>2.830478407401569</v>
      </c>
      <c r="AK77" s="9">
        <v>3.178620152616938</v>
      </c>
      <c r="AL77" s="9">
        <v>2.634679133929808</v>
      </c>
      <c r="AM77" s="9">
        <v>3.168299234931804</v>
      </c>
      <c r="AN77" s="9">
        <v>3.164724165155387</v>
      </c>
      <c r="AO77" s="9">
        <v>3.102825809942977</v>
      </c>
      <c r="AP77" s="9">
        <v>2.703306405137275</v>
      </c>
      <c r="AQ77" s="9">
        <v>3.68861466627446</v>
      </c>
      <c r="AR77" s="9">
        <v>2.70957488907412</v>
      </c>
      <c r="AS77" s="9">
        <v>3.920020027141229</v>
      </c>
      <c r="AT77" s="9">
        <v>3.905878744856229</v>
      </c>
      <c r="AU77" s="9">
        <v>2.497691732172575</v>
      </c>
      <c r="AV77" s="9">
        <v>3.875695957227258</v>
      </c>
      <c r="AW77" s="9">
        <v>2.937352023146106</v>
      </c>
    </row>
    <row r="78" ht="15.0" customHeight="1">
      <c r="A78" s="5" t="s">
        <v>220</v>
      </c>
      <c r="B78" s="5" t="s">
        <v>221</v>
      </c>
      <c r="C78" s="5" t="s">
        <v>136</v>
      </c>
      <c r="D78" s="5" t="s">
        <v>52</v>
      </c>
      <c r="E78" s="5">
        <v>6.0</v>
      </c>
      <c r="F78" s="6">
        <v>0.9677419355</v>
      </c>
      <c r="G78" s="5">
        <v>88.0</v>
      </c>
      <c r="H78" s="5">
        <v>2869.0</v>
      </c>
      <c r="I78" s="5" t="b">
        <v>1</v>
      </c>
      <c r="J78" s="5" t="b">
        <v>0</v>
      </c>
      <c r="K78" s="7">
        <v>85.901612904275</v>
      </c>
      <c r="L78" s="8">
        <v>0.07194848903424333</v>
      </c>
      <c r="M78" s="9">
        <f t="shared" si="1"/>
        <v>3.359696362</v>
      </c>
      <c r="N78" s="7">
        <f t="shared" si="2"/>
        <v>114.2296763</v>
      </c>
      <c r="O78" s="9">
        <f t="shared" si="3"/>
        <v>19.03827939</v>
      </c>
      <c r="P78" s="9">
        <v>3.404265341499445</v>
      </c>
      <c r="Q78" s="9">
        <v>3.151724501707913</v>
      </c>
      <c r="R78" s="9">
        <v>3.059194105157728</v>
      </c>
      <c r="S78" s="9">
        <v>3.646858143585501</v>
      </c>
      <c r="T78" s="9">
        <v>3.434819293951464</v>
      </c>
      <c r="U78" s="9">
        <v>3.403420017482588</v>
      </c>
      <c r="V78" s="9">
        <v>3.019881191676177</v>
      </c>
      <c r="W78" s="9">
        <v>3.392854613800476</v>
      </c>
      <c r="X78" s="9">
        <v>3.092461838828358</v>
      </c>
      <c r="Y78" s="9">
        <v>3.363403994572216</v>
      </c>
      <c r="Z78" s="9">
        <v>3.134102032846709</v>
      </c>
      <c r="AA78" s="9">
        <v>3.961422601601118</v>
      </c>
      <c r="AB78" s="9">
        <v>2.851826421950346</v>
      </c>
      <c r="AC78" s="9">
        <v>3.795050144180366</v>
      </c>
      <c r="AD78" s="9">
        <v>3.346878830614825</v>
      </c>
      <c r="AE78" s="9">
        <v>3.413251253745676</v>
      </c>
      <c r="AF78" s="9">
        <v>3.291006456492171</v>
      </c>
      <c r="AG78" s="9">
        <v>3.226128878183029</v>
      </c>
      <c r="AH78" s="9">
        <v>3.152698510997959</v>
      </c>
      <c r="AI78" s="9">
        <v>3.825838332168066</v>
      </c>
      <c r="AJ78" s="9">
        <v>3.039488766451214</v>
      </c>
      <c r="AK78" s="9">
        <v>3.377968782120057</v>
      </c>
      <c r="AL78" s="9">
        <v>2.83691356940873</v>
      </c>
      <c r="AM78" s="9">
        <v>3.474596746626623</v>
      </c>
      <c r="AN78" s="9">
        <v>3.463820793818492</v>
      </c>
      <c r="AO78" s="9">
        <v>3.430034638107008</v>
      </c>
      <c r="AP78" s="9">
        <v>2.95455827366671</v>
      </c>
      <c r="AQ78" s="9">
        <v>3.893121139005468</v>
      </c>
      <c r="AR78" s="9">
        <v>3.031166199552509</v>
      </c>
      <c r="AS78" s="9">
        <v>3.909890221173017</v>
      </c>
      <c r="AT78" s="9">
        <v>3.86935814781666</v>
      </c>
      <c r="AU78" s="9">
        <v>2.854218337502138</v>
      </c>
      <c r="AV78" s="9">
        <v>3.793458566646382</v>
      </c>
      <c r="AW78" s="9">
        <v>3.333995628310914</v>
      </c>
    </row>
    <row r="79" ht="15.0" customHeight="1">
      <c r="A79" s="5" t="s">
        <v>222</v>
      </c>
      <c r="B79" s="5" t="s">
        <v>223</v>
      </c>
      <c r="C79" s="5" t="s">
        <v>59</v>
      </c>
      <c r="D79" s="5" t="s">
        <v>83</v>
      </c>
      <c r="E79" s="5">
        <v>5.5</v>
      </c>
      <c r="F79" s="6">
        <v>0.75</v>
      </c>
      <c r="G79" s="5">
        <v>87.0</v>
      </c>
      <c r="H79" s="5">
        <v>2554.0</v>
      </c>
      <c r="I79" s="5" t="b">
        <v>1</v>
      </c>
      <c r="J79" s="5" t="b">
        <v>0</v>
      </c>
      <c r="K79" s="7">
        <v>69.31</v>
      </c>
      <c r="L79" s="8">
        <v>0.07842927054231273</v>
      </c>
      <c r="M79" s="9">
        <f t="shared" si="1"/>
        <v>3.221520903</v>
      </c>
      <c r="N79" s="7">
        <f t="shared" si="2"/>
        <v>109.5317107</v>
      </c>
      <c r="O79" s="9">
        <f t="shared" si="3"/>
        <v>19.91485649</v>
      </c>
      <c r="P79" s="9">
        <v>3.228227523295977</v>
      </c>
      <c r="Q79" s="9">
        <v>3.215319451098394</v>
      </c>
      <c r="R79" s="9">
        <v>0.0</v>
      </c>
      <c r="S79" s="9">
        <v>2.954668167425958</v>
      </c>
      <c r="T79" s="9">
        <v>2.815917036185561</v>
      </c>
      <c r="U79" s="9">
        <v>7.22925892696084</v>
      </c>
      <c r="V79" s="9">
        <v>3.672762451888168</v>
      </c>
      <c r="W79" s="9">
        <v>3.143827895413976</v>
      </c>
      <c r="X79" s="9">
        <v>2.714393807767353</v>
      </c>
      <c r="Y79" s="9">
        <v>3.118622019199723</v>
      </c>
      <c r="Z79" s="9">
        <v>3.163808574663733</v>
      </c>
      <c r="AA79" s="9">
        <v>2.653674343389464</v>
      </c>
      <c r="AB79" s="9">
        <v>3.955865556210757</v>
      </c>
      <c r="AC79" s="9">
        <v>2.576836570080411</v>
      </c>
      <c r="AD79" s="9">
        <v>3.34228571700591</v>
      </c>
      <c r="AE79" s="9">
        <v>3.978226458529356</v>
      </c>
      <c r="AF79" s="9">
        <v>3.212824804837176</v>
      </c>
      <c r="AG79" s="9">
        <v>3.467000918635968</v>
      </c>
      <c r="AH79" s="9">
        <v>3.156170086718994</v>
      </c>
      <c r="AI79" s="9">
        <v>3.444873168925019</v>
      </c>
      <c r="AJ79" s="9">
        <v>2.762613719456991</v>
      </c>
      <c r="AK79" s="9">
        <v>3.165483949661805</v>
      </c>
      <c r="AL79" s="9">
        <v>3.731007802710854</v>
      </c>
      <c r="AM79" s="9">
        <v>2.983439674793942</v>
      </c>
      <c r="AN79" s="9">
        <v>3.44013784377077</v>
      </c>
      <c r="AO79" s="9">
        <v>3.7444272202626</v>
      </c>
      <c r="AP79" s="9">
        <v>2.703626691242743</v>
      </c>
      <c r="AQ79" s="9">
        <v>3.078296081593477</v>
      </c>
      <c r="AR79" s="9">
        <v>2.873711953444324</v>
      </c>
      <c r="AS79" s="9">
        <v>2.448686436337268</v>
      </c>
      <c r="AT79" s="9">
        <v>3.755154126919295</v>
      </c>
      <c r="AU79" s="9">
        <v>2.722383363083364</v>
      </c>
      <c r="AV79" s="9">
        <v>3.619176827052101</v>
      </c>
      <c r="AW79" s="9">
        <v>3.459001522740031</v>
      </c>
    </row>
    <row r="80" ht="15.0" customHeight="1">
      <c r="A80" s="5" t="s">
        <v>224</v>
      </c>
      <c r="B80" s="5" t="s">
        <v>225</v>
      </c>
      <c r="C80" s="5" t="s">
        <v>141</v>
      </c>
      <c r="D80" s="5" t="s">
        <v>103</v>
      </c>
      <c r="E80" s="5">
        <v>5.0</v>
      </c>
      <c r="F80" s="6">
        <v>1.0</v>
      </c>
      <c r="G80" s="5">
        <v>87.0</v>
      </c>
      <c r="H80" s="5">
        <v>2825.0</v>
      </c>
      <c r="I80" s="5" t="b">
        <v>1</v>
      </c>
      <c r="J80" s="5" t="b">
        <v>0</v>
      </c>
      <c r="K80" s="7">
        <v>87.0</v>
      </c>
      <c r="L80" s="8">
        <v>0.0719799152744935</v>
      </c>
      <c r="M80" s="9">
        <f t="shared" si="1"/>
        <v>3.776108043</v>
      </c>
      <c r="N80" s="7">
        <f t="shared" si="2"/>
        <v>128.3876735</v>
      </c>
      <c r="O80" s="9">
        <f t="shared" si="3"/>
        <v>25.67753469</v>
      </c>
      <c r="P80" s="9">
        <v>3.800898801099649</v>
      </c>
      <c r="Q80" s="9">
        <v>3.857540959887213</v>
      </c>
      <c r="R80" s="9">
        <v>3.560708356040144</v>
      </c>
      <c r="S80" s="9">
        <v>3.989364582351433</v>
      </c>
      <c r="T80" s="9">
        <v>3.704080896757434</v>
      </c>
      <c r="U80" s="9">
        <v>3.734713672035701</v>
      </c>
      <c r="V80" s="9">
        <v>3.974792050099218</v>
      </c>
      <c r="W80" s="9">
        <v>3.727264433655419</v>
      </c>
      <c r="X80" s="9">
        <v>3.755714195040154</v>
      </c>
      <c r="Y80" s="9">
        <v>3.590710498478975</v>
      </c>
      <c r="Z80" s="9">
        <v>3.927080701244396</v>
      </c>
      <c r="AA80" s="9">
        <v>3.599385903284535</v>
      </c>
      <c r="AB80" s="9">
        <v>3.734918537672511</v>
      </c>
      <c r="AC80" s="9">
        <v>4.133468342341827</v>
      </c>
      <c r="AD80" s="9">
        <v>3.644903216434586</v>
      </c>
      <c r="AE80" s="9">
        <v>3.666457082121358</v>
      </c>
      <c r="AF80" s="9">
        <v>3.86193764518752</v>
      </c>
      <c r="AG80" s="9">
        <v>3.958653639540323</v>
      </c>
      <c r="AH80" s="9">
        <v>3.612945137899233</v>
      </c>
      <c r="AI80" s="9">
        <v>3.713543789362748</v>
      </c>
      <c r="AJ80" s="9">
        <v>3.708094486434057</v>
      </c>
      <c r="AK80" s="9">
        <v>3.727533310525767</v>
      </c>
      <c r="AL80" s="9">
        <v>3.745797373446322</v>
      </c>
      <c r="AM80" s="9">
        <v>3.863168345259222</v>
      </c>
      <c r="AN80" s="9">
        <v>3.815506665473853</v>
      </c>
      <c r="AO80" s="9">
        <v>3.636738159287324</v>
      </c>
      <c r="AP80" s="9">
        <v>3.613705568269651</v>
      </c>
      <c r="AQ80" s="9">
        <v>3.602833003215618</v>
      </c>
      <c r="AR80" s="9">
        <v>3.947661044245928</v>
      </c>
      <c r="AS80" s="9">
        <v>3.755952281151377</v>
      </c>
      <c r="AT80" s="9">
        <v>4.1262692520743</v>
      </c>
      <c r="AU80" s="9">
        <v>3.588996264493421</v>
      </c>
      <c r="AV80" s="9">
        <v>4.131896822223387</v>
      </c>
      <c r="AW80" s="9">
        <v>3.574438437853702</v>
      </c>
    </row>
    <row r="81" ht="15.0" customHeight="1">
      <c r="A81" s="5" t="s">
        <v>226</v>
      </c>
      <c r="B81" s="5" t="s">
        <v>227</v>
      </c>
      <c r="C81" s="5" t="s">
        <v>141</v>
      </c>
      <c r="D81" s="5" t="s">
        <v>83</v>
      </c>
      <c r="E81" s="5">
        <v>5.5</v>
      </c>
      <c r="F81" s="6">
        <v>0.9032258065</v>
      </c>
      <c r="G81" s="10">
        <v>79.0</v>
      </c>
      <c r="H81" s="5">
        <v>2517.0</v>
      </c>
      <c r="I81" s="5" t="b">
        <v>1</v>
      </c>
      <c r="J81" s="5" t="b">
        <v>0</v>
      </c>
      <c r="K81" s="7">
        <v>72.92645161594</v>
      </c>
      <c r="L81" s="8">
        <v>0.07225518623460751</v>
      </c>
      <c r="M81" s="9">
        <f t="shared" si="1"/>
        <v>3.613691409</v>
      </c>
      <c r="N81" s="7">
        <f t="shared" si="2"/>
        <v>122.8655079</v>
      </c>
      <c r="O81" s="9">
        <f t="shared" si="3"/>
        <v>22.33918326</v>
      </c>
      <c r="P81" s="9">
        <v>3.726940154128069</v>
      </c>
      <c r="Q81" s="9">
        <v>3.794230675628512</v>
      </c>
      <c r="R81" s="9">
        <v>2.721682279137056</v>
      </c>
      <c r="S81" s="9">
        <v>4.256440818726073</v>
      </c>
      <c r="T81" s="9">
        <v>3.389170968706249</v>
      </c>
      <c r="U81" s="9">
        <v>3.632727971588865</v>
      </c>
      <c r="V81" s="9">
        <v>4.271687358177304</v>
      </c>
      <c r="W81" s="9">
        <v>3.530453466708539</v>
      </c>
      <c r="X81" s="9">
        <v>3.628354460247676</v>
      </c>
      <c r="Y81" s="9">
        <v>3.025284747633459</v>
      </c>
      <c r="Z81" s="9">
        <v>4.067179806587127</v>
      </c>
      <c r="AA81" s="9">
        <v>3.003063692710571</v>
      </c>
      <c r="AB81" s="9">
        <v>3.638976584610551</v>
      </c>
      <c r="AC81" s="9">
        <v>4.498357973148408</v>
      </c>
      <c r="AD81" s="9">
        <v>3.352426045499502</v>
      </c>
      <c r="AE81" s="9">
        <v>3.310824876188837</v>
      </c>
      <c r="AF81" s="9">
        <v>3.832548194898929</v>
      </c>
      <c r="AG81" s="9">
        <v>4.284881515839978</v>
      </c>
      <c r="AH81" s="9">
        <v>3.086365265375506</v>
      </c>
      <c r="AI81" s="9">
        <v>3.459642780618001</v>
      </c>
      <c r="AJ81" s="9">
        <v>3.558084807886079</v>
      </c>
      <c r="AK81" s="9">
        <v>3.524409387271596</v>
      </c>
      <c r="AL81" s="9">
        <v>3.627813293875045</v>
      </c>
      <c r="AM81" s="9">
        <v>3.851104485997081</v>
      </c>
      <c r="AN81" s="9">
        <v>3.96481219068482</v>
      </c>
      <c r="AO81" s="9">
        <v>3.17022976408167</v>
      </c>
      <c r="AP81" s="9">
        <v>3.160209363232552</v>
      </c>
      <c r="AQ81" s="9">
        <v>3.090425389878334</v>
      </c>
      <c r="AR81" s="9">
        <v>4.153219612382934</v>
      </c>
      <c r="AS81" s="9">
        <v>3.620942507863424</v>
      </c>
      <c r="AT81" s="9">
        <v>4.426032354585789</v>
      </c>
      <c r="AU81" s="9">
        <v>2.897801979081405</v>
      </c>
      <c r="AV81" s="9">
        <v>4.474397175258303</v>
      </c>
      <c r="AW81" s="9">
        <v>2.834785961239321</v>
      </c>
    </row>
    <row r="82" ht="15.0" customHeight="1">
      <c r="A82" s="5" t="s">
        <v>228</v>
      </c>
      <c r="B82" s="5" t="s">
        <v>217</v>
      </c>
      <c r="C82" s="5" t="s">
        <v>141</v>
      </c>
      <c r="D82" s="5" t="s">
        <v>56</v>
      </c>
      <c r="E82" s="5">
        <v>7.5</v>
      </c>
      <c r="F82" s="6">
        <v>1.0</v>
      </c>
      <c r="G82" s="5">
        <v>87.0</v>
      </c>
      <c r="H82" s="5">
        <v>3228.0</v>
      </c>
      <c r="I82" s="5" t="b">
        <v>1</v>
      </c>
      <c r="J82" s="5" t="b">
        <v>1</v>
      </c>
      <c r="K82" s="7">
        <v>87.0</v>
      </c>
      <c r="L82" s="8">
        <v>0.1171126039566192</v>
      </c>
      <c r="M82" s="9">
        <f t="shared" si="1"/>
        <v>4.151133565</v>
      </c>
      <c r="N82" s="7">
        <f t="shared" si="2"/>
        <v>141.1385412</v>
      </c>
      <c r="O82" s="9">
        <f t="shared" si="3"/>
        <v>18.81847216</v>
      </c>
      <c r="P82" s="9">
        <v>4.156954949132428</v>
      </c>
      <c r="Q82" s="9">
        <v>4.004366473415498</v>
      </c>
      <c r="R82" s="9">
        <v>3.446257911889497</v>
      </c>
      <c r="S82" s="9">
        <v>4.788213134353895</v>
      </c>
      <c r="T82" s="9">
        <v>3.749072089683767</v>
      </c>
      <c r="U82" s="9">
        <v>4.329189373509499</v>
      </c>
      <c r="V82" s="9">
        <v>4.923665683379297</v>
      </c>
      <c r="W82" s="9">
        <v>4.039079256330946</v>
      </c>
      <c r="X82" s="9">
        <v>4.150452861457993</v>
      </c>
      <c r="Y82" s="9">
        <v>3.751080722565815</v>
      </c>
      <c r="Z82" s="9">
        <v>4.504206248926192</v>
      </c>
      <c r="AA82" s="9">
        <v>3.543256481753006</v>
      </c>
      <c r="AB82" s="9">
        <v>4.348941027695656</v>
      </c>
      <c r="AC82" s="9">
        <v>4.840491180632486</v>
      </c>
      <c r="AD82" s="9">
        <v>4.184186380100966</v>
      </c>
      <c r="AE82" s="9">
        <v>3.823574622046844</v>
      </c>
      <c r="AF82" s="9">
        <v>4.106993092448151</v>
      </c>
      <c r="AG82" s="9">
        <v>5.062292318147207</v>
      </c>
      <c r="AH82" s="9">
        <v>3.644112093440019</v>
      </c>
      <c r="AI82" s="9">
        <v>3.909891783849579</v>
      </c>
      <c r="AJ82" s="9">
        <v>4.29282835616855</v>
      </c>
      <c r="AK82" s="9">
        <v>4.016213807207912</v>
      </c>
      <c r="AL82" s="9">
        <v>4.225037313412419</v>
      </c>
      <c r="AM82" s="9">
        <v>4.162547187881102</v>
      </c>
      <c r="AN82" s="9">
        <v>4.869292995918133</v>
      </c>
      <c r="AO82" s="9">
        <v>3.648997199591215</v>
      </c>
      <c r="AP82" s="9">
        <v>3.887108484615688</v>
      </c>
      <c r="AQ82" s="9">
        <v>3.793238929369893</v>
      </c>
      <c r="AR82" s="9">
        <v>4.676155075935193</v>
      </c>
      <c r="AS82" s="9">
        <v>4.123269986736592</v>
      </c>
      <c r="AT82" s="9">
        <v>4.629952280959154</v>
      </c>
      <c r="AU82" s="9">
        <v>3.342549306940645</v>
      </c>
      <c r="AV82" s="9">
        <v>4.766548550114502</v>
      </c>
      <c r="AW82" s="9">
        <v>3.398524064180155</v>
      </c>
    </row>
    <row r="83" ht="15.0" customHeight="1">
      <c r="A83" s="5" t="s">
        <v>229</v>
      </c>
      <c r="B83" s="5" t="s">
        <v>230</v>
      </c>
      <c r="C83" s="5" t="s">
        <v>79</v>
      </c>
      <c r="D83" s="5" t="s">
        <v>83</v>
      </c>
      <c r="E83" s="5">
        <v>5.0</v>
      </c>
      <c r="F83" s="6">
        <v>0.7666666667</v>
      </c>
      <c r="G83" s="5">
        <v>87.0</v>
      </c>
      <c r="H83" s="5">
        <v>2193.0</v>
      </c>
      <c r="I83" s="5" t="b">
        <v>1</v>
      </c>
      <c r="J83" s="5" t="b">
        <v>0</v>
      </c>
      <c r="K83" s="7">
        <v>70.489333335692</v>
      </c>
      <c r="L83" s="8">
        <v>0.0821522430754867</v>
      </c>
      <c r="M83" s="9">
        <f t="shared" si="1"/>
        <v>3.493534251</v>
      </c>
      <c r="N83" s="7">
        <f t="shared" si="2"/>
        <v>118.7801645</v>
      </c>
      <c r="O83" s="9">
        <f t="shared" si="3"/>
        <v>23.75603291</v>
      </c>
      <c r="P83" s="9">
        <v>3.017364607316487</v>
      </c>
      <c r="Q83" s="9">
        <v>3.986091144321547</v>
      </c>
      <c r="R83" s="9">
        <v>0.0</v>
      </c>
      <c r="S83" s="9">
        <v>3.747227092829415</v>
      </c>
      <c r="T83" s="9">
        <v>6.656221740338914</v>
      </c>
      <c r="U83" s="9">
        <v>4.207525765088354</v>
      </c>
      <c r="V83" s="9">
        <v>3.072016994710145</v>
      </c>
      <c r="W83" s="9">
        <v>3.521517954913968</v>
      </c>
      <c r="X83" s="9">
        <v>3.624804065693719</v>
      </c>
      <c r="Y83" s="9">
        <v>2.988966016854247</v>
      </c>
      <c r="Z83" s="9">
        <v>3.446837442985146</v>
      </c>
      <c r="AA83" s="9">
        <v>3.522165806608253</v>
      </c>
      <c r="AB83" s="9">
        <v>4.227314990662363</v>
      </c>
      <c r="AC83" s="9">
        <v>2.951492331592489</v>
      </c>
      <c r="AD83" s="9">
        <v>3.478746139465235</v>
      </c>
      <c r="AE83" s="9">
        <v>3.885424965629686</v>
      </c>
      <c r="AF83" s="9">
        <v>2.826811333091201</v>
      </c>
      <c r="AG83" s="9">
        <v>4.004164483959974</v>
      </c>
      <c r="AH83" s="9">
        <v>3.154346230189276</v>
      </c>
      <c r="AI83" s="9">
        <v>3.480144457614212</v>
      </c>
      <c r="AJ83" s="9">
        <v>4.221749276365635</v>
      </c>
      <c r="AK83" s="9">
        <v>2.662646753001783</v>
      </c>
      <c r="AL83" s="9">
        <v>3.929023485027602</v>
      </c>
      <c r="AM83" s="9">
        <v>3.734086651183404</v>
      </c>
      <c r="AN83" s="9">
        <v>3.446505860799068</v>
      </c>
      <c r="AO83" s="9">
        <v>3.752093959830584</v>
      </c>
      <c r="AP83" s="9">
        <v>3.965099969748228</v>
      </c>
      <c r="AQ83" s="9">
        <v>3.057791531042064</v>
      </c>
      <c r="AR83" s="9">
        <v>3.207951511919802</v>
      </c>
      <c r="AS83" s="9">
        <v>3.407495492660104</v>
      </c>
      <c r="AT83" s="9">
        <v>3.405088972656305</v>
      </c>
      <c r="AU83" s="9">
        <v>3.425644565688033</v>
      </c>
      <c r="AV83" s="9">
        <v>3.264232623716257</v>
      </c>
      <c r="AW83" s="9">
        <v>3.501570322670621</v>
      </c>
    </row>
    <row r="84" ht="15.0" customHeight="1">
      <c r="A84" s="5" t="s">
        <v>231</v>
      </c>
      <c r="B84" s="5" t="s">
        <v>232</v>
      </c>
      <c r="C84" s="5" t="s">
        <v>79</v>
      </c>
      <c r="D84" s="5" t="s">
        <v>52</v>
      </c>
      <c r="E84" s="5">
        <v>6.0</v>
      </c>
      <c r="F84" s="6">
        <v>0.8181818182</v>
      </c>
      <c r="G84" s="5">
        <v>76.0</v>
      </c>
      <c r="H84" s="5">
        <v>2295.0</v>
      </c>
      <c r="I84" s="5" t="b">
        <v>1</v>
      </c>
      <c r="J84" s="5" t="b">
        <v>0</v>
      </c>
      <c r="K84" s="7">
        <v>66.35454545551</v>
      </c>
      <c r="L84" s="8">
        <v>0.09448445773229844</v>
      </c>
      <c r="M84" s="9">
        <f t="shared" si="1"/>
        <v>3.628060549</v>
      </c>
      <c r="N84" s="7">
        <f t="shared" si="2"/>
        <v>123.3540587</v>
      </c>
      <c r="O84" s="9">
        <f t="shared" si="3"/>
        <v>20.55900978</v>
      </c>
      <c r="P84" s="9">
        <v>3.241880981937171</v>
      </c>
      <c r="Q84" s="9">
        <v>4.273444468757501</v>
      </c>
      <c r="R84" s="9">
        <v>0.0</v>
      </c>
      <c r="S84" s="9">
        <v>3.644755839566713</v>
      </c>
      <c r="T84" s="9">
        <v>7.320169976555222</v>
      </c>
      <c r="U84" s="9">
        <v>4.125049755072929</v>
      </c>
      <c r="V84" s="9">
        <v>3.321020116967766</v>
      </c>
      <c r="W84" s="9">
        <v>3.599011994914458</v>
      </c>
      <c r="X84" s="9">
        <v>3.648567897849794</v>
      </c>
      <c r="Y84" s="9">
        <v>3.060746935716779</v>
      </c>
      <c r="Z84" s="9">
        <v>3.52154390293603</v>
      </c>
      <c r="AA84" s="9">
        <v>3.618091355430275</v>
      </c>
      <c r="AB84" s="9">
        <v>4.276559633469282</v>
      </c>
      <c r="AC84" s="9">
        <v>3.195888914099176</v>
      </c>
      <c r="AD84" s="9">
        <v>3.731488829263738</v>
      </c>
      <c r="AE84" s="9">
        <v>3.956104900993228</v>
      </c>
      <c r="AF84" s="9">
        <v>2.919032377543942</v>
      </c>
      <c r="AG84" s="9">
        <v>4.183757901891518</v>
      </c>
      <c r="AH84" s="9">
        <v>3.176144191684889</v>
      </c>
      <c r="AI84" s="9">
        <v>3.745586834395172</v>
      </c>
      <c r="AJ84" s="9">
        <v>4.22369842076852</v>
      </c>
      <c r="AK84" s="9">
        <v>2.910739737221557</v>
      </c>
      <c r="AL84" s="9">
        <v>4.086781538774547</v>
      </c>
      <c r="AM84" s="9">
        <v>3.57001924347788</v>
      </c>
      <c r="AN84" s="9">
        <v>3.505548846802037</v>
      </c>
      <c r="AO84" s="9">
        <v>3.684644451544917</v>
      </c>
      <c r="AP84" s="9">
        <v>4.364601992228812</v>
      </c>
      <c r="AQ84" s="9">
        <v>3.148331068645797</v>
      </c>
      <c r="AR84" s="9">
        <v>3.56211648608828</v>
      </c>
      <c r="AS84" s="9">
        <v>3.688170894275062</v>
      </c>
      <c r="AT84" s="9">
        <v>3.421091084967265</v>
      </c>
      <c r="AU84" s="9">
        <v>3.639272954041817</v>
      </c>
      <c r="AV84" s="9">
        <v>3.325410794110056</v>
      </c>
      <c r="AW84" s="9">
        <v>3.664784354946925</v>
      </c>
    </row>
    <row r="85" ht="15.0" customHeight="1">
      <c r="A85" s="5" t="s">
        <v>233</v>
      </c>
      <c r="B85" s="5" t="s">
        <v>234</v>
      </c>
      <c r="C85" s="5" t="s">
        <v>131</v>
      </c>
      <c r="D85" s="5" t="s">
        <v>52</v>
      </c>
      <c r="E85" s="5">
        <v>6.0</v>
      </c>
      <c r="F85" s="6">
        <v>0.9705882353</v>
      </c>
      <c r="G85" s="5">
        <v>85.0</v>
      </c>
      <c r="H85" s="5">
        <v>3034.0</v>
      </c>
      <c r="I85" s="5" t="b">
        <v>1</v>
      </c>
      <c r="J85" s="5" t="b">
        <v>0</v>
      </c>
      <c r="K85" s="7">
        <v>83.175000000365</v>
      </c>
      <c r="L85" s="8">
        <v>0.07050910362998605</v>
      </c>
      <c r="M85" s="9">
        <f t="shared" si="1"/>
        <v>2.807391311</v>
      </c>
      <c r="N85" s="7">
        <f t="shared" si="2"/>
        <v>95.45130457</v>
      </c>
      <c r="O85" s="9">
        <f t="shared" si="3"/>
        <v>15.90855076</v>
      </c>
      <c r="P85" s="9">
        <v>3.172548500687595</v>
      </c>
      <c r="Q85" s="9">
        <v>2.503504149831819</v>
      </c>
      <c r="R85" s="9">
        <v>3.108669870771812</v>
      </c>
      <c r="S85" s="9">
        <v>2.565002135842884</v>
      </c>
      <c r="T85" s="9">
        <v>2.618602211244356</v>
      </c>
      <c r="U85" s="9">
        <v>2.823886240877083</v>
      </c>
      <c r="V85" s="9">
        <v>2.619353049637751</v>
      </c>
      <c r="W85" s="9">
        <v>2.996970705236641</v>
      </c>
      <c r="X85" s="9">
        <v>2.840181675457739</v>
      </c>
      <c r="Y85" s="9">
        <v>3.057946793923737</v>
      </c>
      <c r="Z85" s="9">
        <v>2.855388337135783</v>
      </c>
      <c r="AA85" s="9">
        <v>2.777616871051855</v>
      </c>
      <c r="AB85" s="9">
        <v>3.103686996714513</v>
      </c>
      <c r="AC85" s="9">
        <v>2.499767361452446</v>
      </c>
      <c r="AD85" s="9">
        <v>2.682342154309673</v>
      </c>
      <c r="AE85" s="9">
        <v>2.640042661098133</v>
      </c>
      <c r="AF85" s="9">
        <v>2.822932153180965</v>
      </c>
      <c r="AG85" s="9">
        <v>2.605080853026224</v>
      </c>
      <c r="AH85" s="9">
        <v>2.77108884813707</v>
      </c>
      <c r="AI85" s="9">
        <v>3.15046335548149</v>
      </c>
      <c r="AJ85" s="9">
        <v>2.823737847563537</v>
      </c>
      <c r="AK85" s="9">
        <v>3.137517007254786</v>
      </c>
      <c r="AL85" s="9">
        <v>2.603147269027965</v>
      </c>
      <c r="AM85" s="9">
        <v>2.778832493582748</v>
      </c>
      <c r="AN85" s="9">
        <v>3.055031138755205</v>
      </c>
      <c r="AO85" s="9">
        <v>2.685355915505354</v>
      </c>
      <c r="AP85" s="9">
        <v>2.499230623725306</v>
      </c>
      <c r="AQ85" s="9">
        <v>2.84245394608729</v>
      </c>
      <c r="AR85" s="9">
        <v>2.733626273640701</v>
      </c>
      <c r="AS85" s="9">
        <v>2.844513810622686</v>
      </c>
      <c r="AT85" s="9">
        <v>2.674315632924743</v>
      </c>
      <c r="AU85" s="9">
        <v>2.8151299679539</v>
      </c>
      <c r="AV85" s="9">
        <v>2.871285907113762</v>
      </c>
      <c r="AW85" s="9">
        <v>2.872051812241232</v>
      </c>
    </row>
    <row r="86" ht="15.0" customHeight="1">
      <c r="A86" s="5" t="s">
        <v>235</v>
      </c>
      <c r="B86" s="5" t="s">
        <v>236</v>
      </c>
      <c r="C86" s="5" t="s">
        <v>100</v>
      </c>
      <c r="D86" s="5" t="s">
        <v>52</v>
      </c>
      <c r="E86" s="5">
        <v>6.5</v>
      </c>
      <c r="F86" s="6">
        <v>0.9230769231</v>
      </c>
      <c r="G86" s="5">
        <v>85.0</v>
      </c>
      <c r="H86" s="5">
        <v>1114.0</v>
      </c>
      <c r="I86" s="5" t="b">
        <v>1</v>
      </c>
      <c r="J86" s="5" t="b">
        <v>0</v>
      </c>
      <c r="K86" s="7">
        <v>80.226923078355</v>
      </c>
      <c r="L86" s="8">
        <v>0.0917659252574129</v>
      </c>
      <c r="M86" s="9">
        <f t="shared" si="1"/>
        <v>4.119159611</v>
      </c>
      <c r="N86" s="7">
        <f t="shared" si="2"/>
        <v>140.0514268</v>
      </c>
      <c r="O86" s="9">
        <f t="shared" si="3"/>
        <v>21.54637335</v>
      </c>
      <c r="P86" s="9">
        <v>0.0</v>
      </c>
      <c r="Q86" s="9">
        <v>0.0</v>
      </c>
      <c r="R86" s="9">
        <v>3.933589296004108</v>
      </c>
      <c r="S86" s="9">
        <v>4.516844207386014</v>
      </c>
      <c r="T86" s="9">
        <v>4.120057203166743</v>
      </c>
      <c r="U86" s="9">
        <v>4.005060515548434</v>
      </c>
      <c r="V86" s="9">
        <v>3.822834520913446</v>
      </c>
      <c r="W86" s="9">
        <v>5.189713459878218</v>
      </c>
      <c r="X86" s="9">
        <v>5.430993667005524</v>
      </c>
      <c r="Y86" s="9">
        <v>3.805577368249862</v>
      </c>
      <c r="Z86" s="9">
        <v>5.045070625468436</v>
      </c>
      <c r="AA86" s="9">
        <v>4.452582852847593</v>
      </c>
      <c r="AB86" s="9">
        <v>4.368919321382565</v>
      </c>
      <c r="AC86" s="9">
        <v>4.237985616142841</v>
      </c>
      <c r="AD86" s="9">
        <v>4.363451095124804</v>
      </c>
      <c r="AE86" s="9">
        <v>5.023651465234388</v>
      </c>
      <c r="AF86" s="9">
        <v>3.527506514001846</v>
      </c>
      <c r="AG86" s="9">
        <v>4.41939736051766</v>
      </c>
      <c r="AH86" s="9">
        <v>4.285123089357284</v>
      </c>
      <c r="AI86" s="9">
        <v>3.497633142584366</v>
      </c>
      <c r="AJ86" s="9">
        <v>5.157313967298965</v>
      </c>
      <c r="AK86" s="9">
        <v>4.568073579711527</v>
      </c>
      <c r="AL86" s="9">
        <v>4.440713093169697</v>
      </c>
      <c r="AM86" s="9">
        <v>4.394090692618466</v>
      </c>
      <c r="AN86" s="9">
        <v>5.267455988016951</v>
      </c>
      <c r="AO86" s="9">
        <v>3.785131231239764</v>
      </c>
      <c r="AP86" s="9">
        <v>4.58878257374378</v>
      </c>
      <c r="AQ86" s="9">
        <v>4.261710442019707</v>
      </c>
      <c r="AR86" s="9">
        <v>4.039192181001422</v>
      </c>
      <c r="AS86" s="9">
        <v>5.169200444209406</v>
      </c>
      <c r="AT86" s="9">
        <v>3.880288500082454</v>
      </c>
      <c r="AU86" s="9">
        <v>4.835841482250772</v>
      </c>
      <c r="AV86" s="9">
        <v>3.670207020983051</v>
      </c>
      <c r="AW86" s="9">
        <v>3.947434250711752</v>
      </c>
    </row>
    <row r="87" ht="15.0" customHeight="1">
      <c r="A87" s="5" t="s">
        <v>237</v>
      </c>
      <c r="B87" s="5" t="s">
        <v>238</v>
      </c>
      <c r="C87" s="5" t="s">
        <v>95</v>
      </c>
      <c r="D87" s="5" t="s">
        <v>52</v>
      </c>
      <c r="E87" s="5">
        <v>7.0</v>
      </c>
      <c r="F87" s="6">
        <v>0.92</v>
      </c>
      <c r="G87" s="10">
        <v>79.0</v>
      </c>
      <c r="H87" s="5">
        <v>1980.0</v>
      </c>
      <c r="I87" s="5" t="b">
        <v>1</v>
      </c>
      <c r="J87" s="5" t="b">
        <v>0</v>
      </c>
      <c r="K87" s="7">
        <v>74.516</v>
      </c>
      <c r="L87" s="8">
        <v>0.06703057751533917</v>
      </c>
      <c r="M87" s="9">
        <f t="shared" si="1"/>
        <v>3.721754182</v>
      </c>
      <c r="N87" s="7">
        <f t="shared" si="2"/>
        <v>126.5396422</v>
      </c>
      <c r="O87" s="9">
        <f t="shared" si="3"/>
        <v>18.07709174</v>
      </c>
      <c r="P87" s="9">
        <v>3.458696205209972</v>
      </c>
      <c r="Q87" s="9">
        <v>3.696617998164409</v>
      </c>
      <c r="R87" s="9">
        <v>3.765796976560533</v>
      </c>
      <c r="S87" s="9">
        <v>3.645370647920103</v>
      </c>
      <c r="T87" s="9">
        <v>4.379409149384233</v>
      </c>
      <c r="U87" s="9">
        <v>3.091435175745884</v>
      </c>
      <c r="V87" s="9">
        <v>3.866325808504772</v>
      </c>
      <c r="W87" s="9">
        <v>3.852396504733727</v>
      </c>
      <c r="X87" s="9">
        <v>4.383294125162074</v>
      </c>
      <c r="Y87" s="9">
        <v>3.73850485111135</v>
      </c>
      <c r="Z87" s="9">
        <v>3.312586785486601</v>
      </c>
      <c r="AA87" s="9">
        <v>3.685685318380452</v>
      </c>
      <c r="AB87" s="9">
        <v>3.629521492185897</v>
      </c>
      <c r="AC87" s="9">
        <v>3.7594805621284</v>
      </c>
      <c r="AD87" s="9">
        <v>3.81214851948599</v>
      </c>
      <c r="AE87" s="9">
        <v>3.061973492311664</v>
      </c>
      <c r="AF87" s="9">
        <v>3.719611609199203</v>
      </c>
      <c r="AG87" s="9">
        <v>4.194984379071252</v>
      </c>
      <c r="AH87" s="9">
        <v>3.39045552527916</v>
      </c>
      <c r="AI87" s="9">
        <v>3.762928095323494</v>
      </c>
      <c r="AJ87" s="9">
        <v>4.271200655242189</v>
      </c>
      <c r="AK87" s="9">
        <v>3.798903939502085</v>
      </c>
      <c r="AL87" s="9">
        <v>3.349528596125758</v>
      </c>
      <c r="AM87" s="9">
        <v>3.46539003298357</v>
      </c>
      <c r="AN87" s="9">
        <v>4.330974766181197</v>
      </c>
      <c r="AO87" s="9">
        <v>3.212453594604042</v>
      </c>
      <c r="AP87" s="9">
        <v>3.316424737951345</v>
      </c>
      <c r="AQ87" s="9">
        <v>4.233299743794556</v>
      </c>
      <c r="AR87" s="9">
        <v>4.469720566070062</v>
      </c>
      <c r="AS87" s="9">
        <v>3.084259591756238</v>
      </c>
      <c r="AT87" s="9">
        <v>3.429424156019635</v>
      </c>
      <c r="AU87" s="9">
        <v>3.785470136715974</v>
      </c>
      <c r="AV87" s="9">
        <v>3.29476393849592</v>
      </c>
      <c r="AW87" s="9">
        <v>4.290604509054177</v>
      </c>
    </row>
    <row r="88" ht="15.0" customHeight="1">
      <c r="A88" s="5" t="s">
        <v>239</v>
      </c>
      <c r="B88" s="5" t="s">
        <v>240</v>
      </c>
      <c r="C88" s="5" t="s">
        <v>59</v>
      </c>
      <c r="D88" s="5" t="s">
        <v>83</v>
      </c>
      <c r="E88" s="5">
        <v>5.0</v>
      </c>
      <c r="F88" s="6"/>
      <c r="G88" s="5"/>
      <c r="H88" s="5">
        <v>2242.0</v>
      </c>
      <c r="I88" s="5" t="b">
        <v>0</v>
      </c>
      <c r="J88" s="5" t="b">
        <v>0</v>
      </c>
      <c r="K88" s="7">
        <v>16.24</v>
      </c>
      <c r="L88" s="8">
        <v>0.06332608267314561</v>
      </c>
      <c r="M88" s="9">
        <f t="shared" si="1"/>
        <v>1.127917479</v>
      </c>
      <c r="N88" s="7">
        <f t="shared" si="2"/>
        <v>38.34919429</v>
      </c>
      <c r="O88" s="9">
        <f t="shared" si="3"/>
        <v>7.669838857</v>
      </c>
      <c r="P88" s="9">
        <v>1.132538448183772</v>
      </c>
      <c r="Q88" s="9">
        <v>1.14065642408611</v>
      </c>
      <c r="R88" s="9">
        <v>0.0</v>
      </c>
      <c r="S88" s="9">
        <v>1.129861959475352</v>
      </c>
      <c r="T88" s="9">
        <v>1.110397884402076</v>
      </c>
      <c r="U88" s="9">
        <v>2.298732828166012</v>
      </c>
      <c r="V88" s="9">
        <v>1.162094972348213</v>
      </c>
      <c r="W88" s="9">
        <v>1.136980010365117</v>
      </c>
      <c r="X88" s="9">
        <v>1.097701931108208</v>
      </c>
      <c r="Y88" s="9">
        <v>1.111890610227338</v>
      </c>
      <c r="Z88" s="9">
        <v>1.118856661475307</v>
      </c>
      <c r="AA88" s="9">
        <v>1.074719226120231</v>
      </c>
      <c r="AB88" s="9">
        <v>1.159067838106065</v>
      </c>
      <c r="AC88" s="9">
        <v>1.078386603914659</v>
      </c>
      <c r="AD88" s="9">
        <v>1.128077799075742</v>
      </c>
      <c r="AE88" s="9">
        <v>1.16801741018118</v>
      </c>
      <c r="AF88" s="9">
        <v>1.13936232686197</v>
      </c>
      <c r="AG88" s="9">
        <v>1.128444193736826</v>
      </c>
      <c r="AH88" s="9">
        <v>1.131943991469606</v>
      </c>
      <c r="AI88" s="9">
        <v>1.174749064191376</v>
      </c>
      <c r="AJ88" s="9">
        <v>1.104247699221133</v>
      </c>
      <c r="AK88" s="9">
        <v>1.120354769631714</v>
      </c>
      <c r="AL88" s="9">
        <v>1.187394075328344</v>
      </c>
      <c r="AM88" s="9">
        <v>1.106235245950921</v>
      </c>
      <c r="AN88" s="9">
        <v>1.118080442854338</v>
      </c>
      <c r="AO88" s="9">
        <v>1.178311476901185</v>
      </c>
      <c r="AP88" s="9">
        <v>1.101485560015693</v>
      </c>
      <c r="AQ88" s="9">
        <v>1.10135395755787</v>
      </c>
      <c r="AR88" s="9">
        <v>1.094797208626653</v>
      </c>
      <c r="AS88" s="9">
        <v>1.081514050316666</v>
      </c>
      <c r="AT88" s="9">
        <v>1.16943683956477</v>
      </c>
      <c r="AU88" s="9">
        <v>1.087869243599356</v>
      </c>
      <c r="AV88" s="9">
        <v>1.150829156451012</v>
      </c>
      <c r="AW88" s="9">
        <v>1.124804377040371</v>
      </c>
    </row>
    <row r="89" ht="15.0" customHeight="1">
      <c r="A89" s="5" t="s">
        <v>241</v>
      </c>
      <c r="B89" s="5" t="s">
        <v>242</v>
      </c>
      <c r="C89" s="5" t="s">
        <v>67</v>
      </c>
      <c r="D89" s="5" t="s">
        <v>83</v>
      </c>
      <c r="E89" s="5">
        <v>5.0</v>
      </c>
      <c r="F89" s="6">
        <v>0.3103448276</v>
      </c>
      <c r="G89" s="10">
        <v>70.0</v>
      </c>
      <c r="H89" s="5">
        <v>907.0</v>
      </c>
      <c r="I89" s="5" t="b">
        <v>0</v>
      </c>
      <c r="J89" s="5" t="b">
        <v>0</v>
      </c>
      <c r="K89" s="7">
        <v>32.924137931776</v>
      </c>
      <c r="L89" s="8">
        <v>0.09035038424787618</v>
      </c>
      <c r="M89" s="9">
        <f t="shared" si="1"/>
        <v>1.263744643</v>
      </c>
      <c r="N89" s="7">
        <f t="shared" si="2"/>
        <v>42.96731787</v>
      </c>
      <c r="O89" s="9">
        <f t="shared" si="3"/>
        <v>8.593463574</v>
      </c>
      <c r="P89" s="9">
        <v>1.349075887041919</v>
      </c>
      <c r="Q89" s="9">
        <v>1.170418884136985</v>
      </c>
      <c r="R89" s="9">
        <v>1.256796085621689</v>
      </c>
      <c r="S89" s="9">
        <v>1.427816062557513</v>
      </c>
      <c r="T89" s="9">
        <v>1.196688991326956</v>
      </c>
      <c r="U89" s="9">
        <v>1.387420404059036</v>
      </c>
      <c r="V89" s="9">
        <v>1.392665951072238</v>
      </c>
      <c r="W89" s="9">
        <v>1.124801321691272</v>
      </c>
      <c r="X89" s="9">
        <v>1.253831646978772</v>
      </c>
      <c r="Y89" s="9">
        <v>1.188645080493544</v>
      </c>
      <c r="Z89" s="9">
        <v>1.169529181396848</v>
      </c>
      <c r="AA89" s="9">
        <v>1.2736780702386</v>
      </c>
      <c r="AB89" s="9">
        <v>1.217934458889633</v>
      </c>
      <c r="AC89" s="9">
        <v>1.275330517954918</v>
      </c>
      <c r="AD89" s="9">
        <v>1.213785037540251</v>
      </c>
      <c r="AE89" s="9">
        <v>1.287677000227808</v>
      </c>
      <c r="AF89" s="9">
        <v>1.241462800895058</v>
      </c>
      <c r="AG89" s="9">
        <v>1.297896552489102</v>
      </c>
      <c r="AH89" s="9">
        <v>1.294299271220736</v>
      </c>
      <c r="AI89" s="9">
        <v>1.26293097858357</v>
      </c>
      <c r="AJ89" s="9">
        <v>1.202213896633682</v>
      </c>
      <c r="AK89" s="9">
        <v>1.178493319023163</v>
      </c>
      <c r="AL89" s="9">
        <v>1.377899235105169</v>
      </c>
      <c r="AM89" s="9">
        <v>1.18901090390122</v>
      </c>
      <c r="AN89" s="9">
        <v>1.114606887148156</v>
      </c>
      <c r="AO89" s="9">
        <v>1.32617431933826</v>
      </c>
      <c r="AP89" s="9">
        <v>1.357490597392101</v>
      </c>
      <c r="AQ89" s="9">
        <v>1.13349487589253</v>
      </c>
      <c r="AR89" s="9">
        <v>1.263949468250777</v>
      </c>
      <c r="AS89" s="9">
        <v>1.373953560361333</v>
      </c>
      <c r="AT89" s="9">
        <v>1.267890518458594</v>
      </c>
      <c r="AU89" s="9">
        <v>1.261746782162548</v>
      </c>
      <c r="AV89" s="9">
        <v>1.402568607744501</v>
      </c>
      <c r="AW89" s="9">
        <v>1.23514071553564</v>
      </c>
    </row>
    <row r="90" ht="15.0" customHeight="1">
      <c r="A90" s="5" t="s">
        <v>243</v>
      </c>
      <c r="B90" s="5" t="s">
        <v>244</v>
      </c>
      <c r="C90" s="5" t="s">
        <v>67</v>
      </c>
      <c r="D90" s="5" t="s">
        <v>52</v>
      </c>
      <c r="E90" s="5">
        <v>6.5</v>
      </c>
      <c r="F90" s="6">
        <v>0.8275862069</v>
      </c>
      <c r="G90" s="5">
        <v>85.0</v>
      </c>
      <c r="H90" s="5">
        <v>2301.0</v>
      </c>
      <c r="I90" s="5" t="b">
        <v>1</v>
      </c>
      <c r="J90" s="5" t="b">
        <v>0</v>
      </c>
      <c r="K90" s="7">
        <v>74.301724138145</v>
      </c>
      <c r="L90" s="8">
        <v>0.06638498970392775</v>
      </c>
      <c r="M90" s="9">
        <f t="shared" si="1"/>
        <v>2.708751038</v>
      </c>
      <c r="N90" s="7">
        <f t="shared" si="2"/>
        <v>92.09753531</v>
      </c>
      <c r="O90" s="9">
        <f t="shared" si="3"/>
        <v>14.16885159</v>
      </c>
      <c r="P90" s="9">
        <v>2.992935080714696</v>
      </c>
      <c r="Q90" s="9">
        <v>2.509015744719224</v>
      </c>
      <c r="R90" s="9">
        <v>2.705433682626866</v>
      </c>
      <c r="S90" s="9">
        <v>3.031656296630421</v>
      </c>
      <c r="T90" s="9">
        <v>2.511378814048014</v>
      </c>
      <c r="U90" s="9">
        <v>3.046646945896625</v>
      </c>
      <c r="V90" s="9">
        <v>2.918512552477022</v>
      </c>
      <c r="W90" s="9">
        <v>2.377363946824229</v>
      </c>
      <c r="X90" s="9">
        <v>2.756539624165642</v>
      </c>
      <c r="Y90" s="9">
        <v>2.583066732646667</v>
      </c>
      <c r="Z90" s="9">
        <v>2.48584096976983</v>
      </c>
      <c r="AA90" s="9">
        <v>2.70402404198655</v>
      </c>
      <c r="AB90" s="9">
        <v>2.628161685274124</v>
      </c>
      <c r="AC90" s="9">
        <v>2.724238247368321</v>
      </c>
      <c r="AD90" s="9">
        <v>2.545536254669486</v>
      </c>
      <c r="AE90" s="9">
        <v>2.717546384669121</v>
      </c>
      <c r="AF90" s="9">
        <v>2.668047158081537</v>
      </c>
      <c r="AG90" s="9">
        <v>2.747838274758263</v>
      </c>
      <c r="AH90" s="9">
        <v>2.742924886122775</v>
      </c>
      <c r="AI90" s="9">
        <v>2.738189299231294</v>
      </c>
      <c r="AJ90" s="9">
        <v>2.574995653006509</v>
      </c>
      <c r="AK90" s="9">
        <v>2.47720081168516</v>
      </c>
      <c r="AL90" s="9">
        <v>2.978037377556067</v>
      </c>
      <c r="AM90" s="9">
        <v>2.486845620152706</v>
      </c>
      <c r="AN90" s="9">
        <v>2.38555769643785</v>
      </c>
      <c r="AO90" s="9">
        <v>2.882661975593121</v>
      </c>
      <c r="AP90" s="9">
        <v>2.933309575020557</v>
      </c>
      <c r="AQ90" s="9">
        <v>2.353366706459916</v>
      </c>
      <c r="AR90" s="9">
        <v>2.770599189607203</v>
      </c>
      <c r="AS90" s="9">
        <v>3.028136396100949</v>
      </c>
      <c r="AT90" s="9">
        <v>2.645652184053854</v>
      </c>
      <c r="AU90" s="9">
        <v>2.711889985239142</v>
      </c>
      <c r="AV90" s="9">
        <v>3.004838025598867</v>
      </c>
      <c r="AW90" s="9">
        <v>2.72954748881666</v>
      </c>
    </row>
    <row r="91" ht="15.0" customHeight="1">
      <c r="A91" s="5" t="s">
        <v>245</v>
      </c>
      <c r="B91" s="5" t="s">
        <v>246</v>
      </c>
      <c r="C91" s="5" t="s">
        <v>141</v>
      </c>
      <c r="D91" s="5" t="s">
        <v>83</v>
      </c>
      <c r="E91" s="5">
        <v>5.5</v>
      </c>
      <c r="F91" s="6">
        <v>1.0</v>
      </c>
      <c r="G91" s="10">
        <v>90.0</v>
      </c>
      <c r="H91" s="5">
        <v>3407.0</v>
      </c>
      <c r="I91" s="5" t="b">
        <v>1</v>
      </c>
      <c r="J91" s="5" t="b">
        <v>0</v>
      </c>
      <c r="K91" s="7">
        <v>90.0</v>
      </c>
      <c r="L91" s="8">
        <v>0.05830253740233508</v>
      </c>
      <c r="M91" s="9">
        <f t="shared" si="1"/>
        <v>3.199966816</v>
      </c>
      <c r="N91" s="7">
        <f t="shared" si="2"/>
        <v>108.7988717</v>
      </c>
      <c r="O91" s="9">
        <f t="shared" si="3"/>
        <v>19.78161304</v>
      </c>
      <c r="P91" s="9">
        <v>3.310429361307204</v>
      </c>
      <c r="Q91" s="9">
        <v>3.411248661815873</v>
      </c>
      <c r="R91" s="9">
        <v>2.478494450048379</v>
      </c>
      <c r="S91" s="9">
        <v>3.690709038927385</v>
      </c>
      <c r="T91" s="9">
        <v>3.069021441632679</v>
      </c>
      <c r="U91" s="9">
        <v>3.178609109419802</v>
      </c>
      <c r="V91" s="9">
        <v>3.675216458967149</v>
      </c>
      <c r="W91" s="9">
        <v>3.143077083856435</v>
      </c>
      <c r="X91" s="9">
        <v>3.214592544330751</v>
      </c>
      <c r="Y91" s="9">
        <v>2.709417375658174</v>
      </c>
      <c r="Z91" s="9">
        <v>3.56794630579396</v>
      </c>
      <c r="AA91" s="9">
        <v>2.734343968397326</v>
      </c>
      <c r="AB91" s="9">
        <v>3.180322972519622</v>
      </c>
      <c r="AC91" s="9">
        <v>3.917691039386439</v>
      </c>
      <c r="AD91" s="9">
        <v>2.934648673736083</v>
      </c>
      <c r="AE91" s="9">
        <v>2.974896605186428</v>
      </c>
      <c r="AF91" s="9">
        <v>3.425928172354875</v>
      </c>
      <c r="AG91" s="9">
        <v>3.656982536995263</v>
      </c>
      <c r="AH91" s="9">
        <v>2.79382149249333</v>
      </c>
      <c r="AI91" s="9">
        <v>3.102315944071213</v>
      </c>
      <c r="AJ91" s="9">
        <v>3.113135617520186</v>
      </c>
      <c r="AK91" s="9">
        <v>3.142267165691354</v>
      </c>
      <c r="AL91" s="9">
        <v>3.197241732081649</v>
      </c>
      <c r="AM91" s="9">
        <v>3.431717121197777</v>
      </c>
      <c r="AN91" s="9">
        <v>3.384593989671906</v>
      </c>
      <c r="AO91" s="9">
        <v>2.875493256534762</v>
      </c>
      <c r="AP91" s="9">
        <v>2.811915874597477</v>
      </c>
      <c r="AQ91" s="9">
        <v>2.764204894503845</v>
      </c>
      <c r="AR91" s="9">
        <v>3.614096919451416</v>
      </c>
      <c r="AS91" s="9">
        <v>3.213406010128617</v>
      </c>
      <c r="AT91" s="9">
        <v>3.893777129681474</v>
      </c>
      <c r="AU91" s="9">
        <v>2.675705766034425</v>
      </c>
      <c r="AV91" s="9">
        <v>3.910714004932685</v>
      </c>
      <c r="AW91" s="9">
        <v>2.600889012788037</v>
      </c>
    </row>
    <row r="92" ht="15.0" customHeight="1">
      <c r="A92" s="5" t="s">
        <v>247</v>
      </c>
      <c r="B92" s="5" t="s">
        <v>248</v>
      </c>
      <c r="C92" s="5" t="s">
        <v>55</v>
      </c>
      <c r="D92" s="5" t="s">
        <v>103</v>
      </c>
      <c r="E92" s="5">
        <v>5.5</v>
      </c>
      <c r="F92" s="6">
        <v>1.0</v>
      </c>
      <c r="G92" s="5">
        <v>90.0</v>
      </c>
      <c r="H92" s="5">
        <v>3233.0</v>
      </c>
      <c r="I92" s="5" t="b">
        <v>1</v>
      </c>
      <c r="J92" s="5" t="b">
        <v>0</v>
      </c>
      <c r="K92" s="7">
        <v>90.0</v>
      </c>
      <c r="L92" s="8">
        <v>0.06679840384333523</v>
      </c>
      <c r="M92" s="9">
        <f t="shared" si="1"/>
        <v>3.87164976</v>
      </c>
      <c r="N92" s="7">
        <f t="shared" si="2"/>
        <v>131.6360918</v>
      </c>
      <c r="O92" s="9">
        <f t="shared" si="3"/>
        <v>23.93383488</v>
      </c>
      <c r="P92" s="9">
        <v>3.809064853374025</v>
      </c>
      <c r="Q92" s="9">
        <v>4.087695101137545</v>
      </c>
      <c r="R92" s="9">
        <v>3.983183976483252</v>
      </c>
      <c r="S92" s="9">
        <v>4.259618053873207</v>
      </c>
      <c r="T92" s="9">
        <v>3.629029063270611</v>
      </c>
      <c r="U92" s="9">
        <v>3.849007692274802</v>
      </c>
      <c r="V92" s="9">
        <v>3.914197006945561</v>
      </c>
      <c r="W92" s="9">
        <v>3.82658415978925</v>
      </c>
      <c r="X92" s="9">
        <v>3.716915954345535</v>
      </c>
      <c r="Y92" s="9">
        <v>3.549395146563871</v>
      </c>
      <c r="Z92" s="9">
        <v>4.119943191763619</v>
      </c>
      <c r="AA92" s="9">
        <v>3.651012693641641</v>
      </c>
      <c r="AB92" s="9">
        <v>4.076054177866954</v>
      </c>
      <c r="AC92" s="9">
        <v>3.860993718582848</v>
      </c>
      <c r="AD92" s="9">
        <v>3.984547195536944</v>
      </c>
      <c r="AE92" s="9">
        <v>3.635618068716</v>
      </c>
      <c r="AF92" s="9">
        <v>3.797022733606175</v>
      </c>
      <c r="AG92" s="9">
        <v>3.669254225513906</v>
      </c>
      <c r="AH92" s="9">
        <v>3.826250403515762</v>
      </c>
      <c r="AI92" s="9">
        <v>4.104690033624223</v>
      </c>
      <c r="AJ92" s="9">
        <v>3.644968624843016</v>
      </c>
      <c r="AK92" s="9">
        <v>3.802150348107203</v>
      </c>
      <c r="AL92" s="9">
        <v>3.93097381825393</v>
      </c>
      <c r="AM92" s="9">
        <v>3.668013626978141</v>
      </c>
      <c r="AN92" s="9">
        <v>3.835708815842259</v>
      </c>
      <c r="AO92" s="9">
        <v>3.835456784099601</v>
      </c>
      <c r="AP92" s="9">
        <v>4.265238881825931</v>
      </c>
      <c r="AQ92" s="9">
        <v>3.861279964369146</v>
      </c>
      <c r="AR92" s="9">
        <v>3.978305752863749</v>
      </c>
      <c r="AS92" s="9">
        <v>4.054110157475878</v>
      </c>
      <c r="AT92" s="9">
        <v>4.266807025615966</v>
      </c>
      <c r="AU92" s="9">
        <v>3.704952295365602</v>
      </c>
      <c r="AV92" s="9">
        <v>3.625730315240171</v>
      </c>
      <c r="AW92" s="9">
        <v>3.812317966156058</v>
      </c>
    </row>
    <row r="93" ht="15.0" customHeight="1">
      <c r="A93" s="5" t="s">
        <v>249</v>
      </c>
      <c r="B93" s="5" t="s">
        <v>250</v>
      </c>
      <c r="C93" s="5" t="s">
        <v>55</v>
      </c>
      <c r="D93" s="5" t="s">
        <v>83</v>
      </c>
      <c r="E93" s="5">
        <v>5.5</v>
      </c>
      <c r="F93" s="6">
        <v>0.9285714286</v>
      </c>
      <c r="G93" s="10">
        <v>86.0</v>
      </c>
      <c r="H93" s="5">
        <v>3055.0</v>
      </c>
      <c r="I93" s="5" t="b">
        <v>1</v>
      </c>
      <c r="J93" s="5" t="b">
        <v>0</v>
      </c>
      <c r="K93" s="7">
        <v>81.017142859136</v>
      </c>
      <c r="L93" s="8">
        <v>0.07226766652298176</v>
      </c>
      <c r="M93" s="9">
        <f t="shared" si="1"/>
        <v>3.778289872</v>
      </c>
      <c r="N93" s="7">
        <f t="shared" si="2"/>
        <v>128.4618556</v>
      </c>
      <c r="O93" s="9">
        <f t="shared" si="3"/>
        <v>23.35670102</v>
      </c>
      <c r="P93" s="9">
        <v>3.64095601562753</v>
      </c>
      <c r="Q93" s="9">
        <v>4.380319753349687</v>
      </c>
      <c r="R93" s="9">
        <v>4.010591834489473</v>
      </c>
      <c r="S93" s="9">
        <v>4.553677614246316</v>
      </c>
      <c r="T93" s="9">
        <v>3.17331036564055</v>
      </c>
      <c r="U93" s="9">
        <v>3.786520606665619</v>
      </c>
      <c r="V93" s="9">
        <v>3.897278076609539</v>
      </c>
      <c r="W93" s="9">
        <v>3.698765286172781</v>
      </c>
      <c r="X93" s="9">
        <v>3.492022437961178</v>
      </c>
      <c r="Y93" s="9">
        <v>2.847322702767866</v>
      </c>
      <c r="Z93" s="9">
        <v>4.375450065737573</v>
      </c>
      <c r="AA93" s="9">
        <v>3.243794285994288</v>
      </c>
      <c r="AB93" s="9">
        <v>4.282564269802032</v>
      </c>
      <c r="AC93" s="9">
        <v>3.794852960742253</v>
      </c>
      <c r="AD93" s="9">
        <v>4.024323532326864</v>
      </c>
      <c r="AE93" s="9">
        <v>3.180401098955226</v>
      </c>
      <c r="AF93" s="9">
        <v>3.582792818307787</v>
      </c>
      <c r="AG93" s="9">
        <v>3.311906882426108</v>
      </c>
      <c r="AH93" s="9">
        <v>3.702763680775425</v>
      </c>
      <c r="AI93" s="9">
        <v>4.379078833711753</v>
      </c>
      <c r="AJ93" s="9">
        <v>3.175982212366479</v>
      </c>
      <c r="AK93" s="9">
        <v>3.704843223271396</v>
      </c>
      <c r="AL93" s="9">
        <v>4.073778420514884</v>
      </c>
      <c r="AM93" s="9">
        <v>3.258930232329054</v>
      </c>
      <c r="AN93" s="9">
        <v>3.785307426981745</v>
      </c>
      <c r="AO93" s="9">
        <v>3.780759081132469</v>
      </c>
      <c r="AP93" s="9">
        <v>4.589766647363255</v>
      </c>
      <c r="AQ93" s="9">
        <v>3.789851232154012</v>
      </c>
      <c r="AR93" s="9">
        <v>3.981106519773898</v>
      </c>
      <c r="AS93" s="9">
        <v>4.211608294194002</v>
      </c>
      <c r="AT93" s="9">
        <v>4.607162035622685</v>
      </c>
      <c r="AU93" s="9">
        <v>3.353596717953327</v>
      </c>
      <c r="AV93" s="9">
        <v>3.080140270087494</v>
      </c>
      <c r="AW93" s="9">
        <v>3.710330200932586</v>
      </c>
    </row>
    <row r="94" ht="15.0" customHeight="1">
      <c r="A94" s="5" t="s">
        <v>251</v>
      </c>
      <c r="B94" s="5" t="s">
        <v>252</v>
      </c>
      <c r="C94" s="5" t="s">
        <v>131</v>
      </c>
      <c r="D94" s="5" t="s">
        <v>83</v>
      </c>
      <c r="E94" s="5">
        <v>5.5</v>
      </c>
      <c r="F94" s="6">
        <v>0.6666666667</v>
      </c>
      <c r="G94" s="5">
        <v>80.0</v>
      </c>
      <c r="H94" s="5">
        <v>1752.0</v>
      </c>
      <c r="I94" s="5" t="b">
        <v>1</v>
      </c>
      <c r="J94" s="5" t="b">
        <v>0</v>
      </c>
      <c r="K94" s="7">
        <v>58.746666668792</v>
      </c>
      <c r="L94" s="8">
        <v>0.06187867619425057</v>
      </c>
      <c r="M94" s="9">
        <f t="shared" si="1"/>
        <v>2.517017503</v>
      </c>
      <c r="N94" s="7">
        <f t="shared" si="2"/>
        <v>85.5785951</v>
      </c>
      <c r="O94" s="9">
        <f t="shared" si="3"/>
        <v>15.55974456</v>
      </c>
      <c r="P94" s="9">
        <v>3.313833110174364</v>
      </c>
      <c r="Q94" s="9">
        <v>1.942013008078114</v>
      </c>
      <c r="R94" s="9">
        <v>3.247675125721755</v>
      </c>
      <c r="S94" s="9">
        <v>2.057267001831261</v>
      </c>
      <c r="T94" s="9">
        <v>2.175871278354964</v>
      </c>
      <c r="U94" s="9">
        <v>2.486010408553899</v>
      </c>
      <c r="V94" s="9">
        <v>2.088036346672124</v>
      </c>
      <c r="W94" s="9">
        <v>2.916344903696061</v>
      </c>
      <c r="X94" s="9">
        <v>2.542595151723464</v>
      </c>
      <c r="Y94" s="9">
        <v>2.833499695934684</v>
      </c>
      <c r="Z94" s="9">
        <v>2.707944213327494</v>
      </c>
      <c r="AA94" s="9">
        <v>2.459782846272585</v>
      </c>
      <c r="AB94" s="9">
        <v>3.087114577688721</v>
      </c>
      <c r="AC94" s="9">
        <v>1.88472206071634</v>
      </c>
      <c r="AD94" s="9">
        <v>2.339748387735455</v>
      </c>
      <c r="AE94" s="9">
        <v>2.132623418969418</v>
      </c>
      <c r="AF94" s="9">
        <v>2.540504069198389</v>
      </c>
      <c r="AG94" s="9">
        <v>2.082781717133787</v>
      </c>
      <c r="AH94" s="9">
        <v>2.454222501146937</v>
      </c>
      <c r="AI94" s="9">
        <v>3.291984506858775</v>
      </c>
      <c r="AJ94" s="9">
        <v>2.673660131575171</v>
      </c>
      <c r="AK94" s="9">
        <v>3.100844327574864</v>
      </c>
      <c r="AL94" s="9">
        <v>2.118895717206581</v>
      </c>
      <c r="AM94" s="9">
        <v>2.335518027216791</v>
      </c>
      <c r="AN94" s="9">
        <v>2.99374767159138</v>
      </c>
      <c r="AO94" s="9">
        <v>2.285428375983532</v>
      </c>
      <c r="AP94" s="9">
        <v>1.974852172761337</v>
      </c>
      <c r="AQ94" s="9">
        <v>2.491303667891926</v>
      </c>
      <c r="AR94" s="9">
        <v>2.400164959774806</v>
      </c>
      <c r="AS94" s="9">
        <v>2.620350441528327</v>
      </c>
      <c r="AT94" s="9">
        <v>2.185103192958572</v>
      </c>
      <c r="AU94" s="9">
        <v>2.533728969858189</v>
      </c>
      <c r="AV94" s="9">
        <v>2.555783594714719</v>
      </c>
      <c r="AW94" s="9">
        <v>2.724639517442658</v>
      </c>
    </row>
    <row r="95" ht="15.0" customHeight="1">
      <c r="A95" s="5" t="s">
        <v>253</v>
      </c>
      <c r="B95" s="5" t="s">
        <v>254</v>
      </c>
      <c r="C95" s="5" t="s">
        <v>131</v>
      </c>
      <c r="D95" s="5" t="s">
        <v>52</v>
      </c>
      <c r="E95" s="5">
        <v>7.0</v>
      </c>
      <c r="F95" s="6">
        <v>0.9696969697</v>
      </c>
      <c r="G95" s="10">
        <v>81.0</v>
      </c>
      <c r="H95" s="5">
        <v>2750.0</v>
      </c>
      <c r="I95" s="5" t="b">
        <v>1</v>
      </c>
      <c r="J95" s="5" t="b">
        <v>1</v>
      </c>
      <c r="K95" s="7">
        <v>79.240909091085</v>
      </c>
      <c r="L95" s="8">
        <v>0.0665154803792744</v>
      </c>
      <c r="M95" s="9">
        <f t="shared" si="1"/>
        <v>4.027771975</v>
      </c>
      <c r="N95" s="7">
        <f t="shared" si="2"/>
        <v>136.9442472</v>
      </c>
      <c r="O95" s="9">
        <f t="shared" si="3"/>
        <v>19.56346388</v>
      </c>
      <c r="P95" s="9">
        <v>4.870240284153118</v>
      </c>
      <c r="Q95" s="9">
        <v>3.261976848973972</v>
      </c>
      <c r="R95" s="9">
        <v>4.669101925895873</v>
      </c>
      <c r="S95" s="9">
        <v>3.417766769641613</v>
      </c>
      <c r="T95" s="9">
        <v>3.540223676058697</v>
      </c>
      <c r="U95" s="9">
        <v>4.115014762229233</v>
      </c>
      <c r="V95" s="9">
        <v>3.607640075483522</v>
      </c>
      <c r="W95" s="9">
        <v>4.475697669865784</v>
      </c>
      <c r="X95" s="9">
        <v>4.137174849913327</v>
      </c>
      <c r="Y95" s="9">
        <v>4.774875900752137</v>
      </c>
      <c r="Z95" s="9">
        <v>4.075232861089831</v>
      </c>
      <c r="AA95" s="9">
        <v>3.953398589416343</v>
      </c>
      <c r="AB95" s="9">
        <v>4.767494104007607</v>
      </c>
      <c r="AC95" s="9">
        <v>3.289427860894821</v>
      </c>
      <c r="AD95" s="9">
        <v>3.66908240288881</v>
      </c>
      <c r="AE95" s="9">
        <v>3.655785041813596</v>
      </c>
      <c r="AF95" s="9">
        <v>4.071280316660384</v>
      </c>
      <c r="AG95" s="9">
        <v>3.555706545701149</v>
      </c>
      <c r="AH95" s="9">
        <v>3.931962029616134</v>
      </c>
      <c r="AI95" s="9">
        <v>4.799947326238454</v>
      </c>
      <c r="AJ95" s="9">
        <v>3.976677400867271</v>
      </c>
      <c r="AK95" s="9">
        <v>4.889658801707353</v>
      </c>
      <c r="AL95" s="9">
        <v>3.52163604117832</v>
      </c>
      <c r="AM95" s="9">
        <v>4.049375746831335</v>
      </c>
      <c r="AN95" s="9">
        <v>4.645837262787397</v>
      </c>
      <c r="AO95" s="9">
        <v>3.720740782981639</v>
      </c>
      <c r="AP95" s="9">
        <v>3.221163460373665</v>
      </c>
      <c r="AQ95" s="9">
        <v>4.183711388687575</v>
      </c>
      <c r="AR95" s="9">
        <v>3.825202784770778</v>
      </c>
      <c r="AS95" s="9">
        <v>4.097027823372433</v>
      </c>
      <c r="AT95" s="9">
        <v>3.751234167287197</v>
      </c>
      <c r="AU95" s="9">
        <v>4.04575473820142</v>
      </c>
      <c r="AV95" s="9">
        <v>4.249081663520455</v>
      </c>
      <c r="AW95" s="9">
        <v>4.128115252563196</v>
      </c>
    </row>
    <row r="96" ht="15.0" customHeight="1">
      <c r="A96" s="5" t="s">
        <v>255</v>
      </c>
      <c r="B96" s="5" t="s">
        <v>256</v>
      </c>
      <c r="C96" s="5" t="s">
        <v>51</v>
      </c>
      <c r="D96" s="5" t="s">
        <v>83</v>
      </c>
      <c r="E96" s="5">
        <v>6.0</v>
      </c>
      <c r="F96" s="6">
        <v>0.7352941176</v>
      </c>
      <c r="G96" s="5">
        <v>82.0</v>
      </c>
      <c r="H96" s="5">
        <v>2306.0</v>
      </c>
      <c r="I96" s="5" t="b">
        <v>1</v>
      </c>
      <c r="J96" s="5" t="b">
        <v>0</v>
      </c>
      <c r="K96" s="7">
        <v>64.59294117337599</v>
      </c>
      <c r="L96" s="8">
        <v>0.08742670815503346</v>
      </c>
      <c r="M96" s="9">
        <f t="shared" si="1"/>
        <v>3.496397128</v>
      </c>
      <c r="N96" s="7">
        <f t="shared" si="2"/>
        <v>118.8775023</v>
      </c>
      <c r="O96" s="9">
        <f t="shared" si="3"/>
        <v>19.81291706</v>
      </c>
      <c r="P96" s="9">
        <v>4.044337633153726</v>
      </c>
      <c r="Q96" s="9">
        <v>3.418177863341813</v>
      </c>
      <c r="R96" s="9">
        <v>3.412956426133158</v>
      </c>
      <c r="S96" s="9">
        <v>3.096136220735014</v>
      </c>
      <c r="T96" s="9">
        <v>3.002155133625727</v>
      </c>
      <c r="U96" s="9">
        <v>3.89883258864972</v>
      </c>
      <c r="V96" s="9">
        <v>2.845767553789485</v>
      </c>
      <c r="W96" s="9">
        <v>3.478764968573649</v>
      </c>
      <c r="X96" s="9">
        <v>3.701976723436792</v>
      </c>
      <c r="Y96" s="9">
        <v>3.219043682413555</v>
      </c>
      <c r="Z96" s="9">
        <v>4.277045012135766</v>
      </c>
      <c r="AA96" s="9">
        <v>3.724265943551657</v>
      </c>
      <c r="AB96" s="9">
        <v>2.909718988264841</v>
      </c>
      <c r="AC96" s="9">
        <v>4.028714947341236</v>
      </c>
      <c r="AD96" s="9">
        <v>2.926807846655267</v>
      </c>
      <c r="AE96" s="9">
        <v>3.731894667023903</v>
      </c>
      <c r="AF96" s="9">
        <v>4.037854818149849</v>
      </c>
      <c r="AG96" s="9">
        <v>2.759160949286882</v>
      </c>
      <c r="AH96" s="9">
        <v>3.499796057274717</v>
      </c>
      <c r="AI96" s="9">
        <v>4.238325731226713</v>
      </c>
      <c r="AJ96" s="9">
        <v>3.734071067878776</v>
      </c>
      <c r="AK96" s="9">
        <v>3.318530919557994</v>
      </c>
      <c r="AL96" s="9">
        <v>4.264867544611174</v>
      </c>
      <c r="AM96" s="9">
        <v>3.365362493892138</v>
      </c>
      <c r="AN96" s="9">
        <v>3.605817851408775</v>
      </c>
      <c r="AO96" s="9">
        <v>3.19637006605162</v>
      </c>
      <c r="AP96" s="9">
        <v>2.920749356560401</v>
      </c>
      <c r="AQ96" s="9">
        <v>3.415813993453111</v>
      </c>
      <c r="AR96" s="9">
        <v>3.489011483745061</v>
      </c>
      <c r="AS96" s="9">
        <v>3.502855210217446</v>
      </c>
      <c r="AT96" s="9">
        <v>3.475621012702893</v>
      </c>
      <c r="AU96" s="9">
        <v>3.958150236687575</v>
      </c>
      <c r="AV96" s="9">
        <v>3.401873153373617</v>
      </c>
      <c r="AW96" s="9">
        <v>2.976674199167633</v>
      </c>
    </row>
    <row r="97" ht="15.0" customHeight="1">
      <c r="A97" s="5" t="s">
        <v>257</v>
      </c>
      <c r="B97" s="5" t="s">
        <v>258</v>
      </c>
      <c r="C97" s="5" t="s">
        <v>51</v>
      </c>
      <c r="D97" s="5" t="s">
        <v>52</v>
      </c>
      <c r="E97" s="5">
        <v>8.0</v>
      </c>
      <c r="F97" s="6">
        <v>0.2424242424</v>
      </c>
      <c r="G97" s="5">
        <v>78.0</v>
      </c>
      <c r="H97" s="5">
        <v>1173.0</v>
      </c>
      <c r="I97" s="5" t="b">
        <v>0</v>
      </c>
      <c r="J97" s="5" t="b">
        <v>0</v>
      </c>
      <c r="K97" s="7">
        <v>36.29545454412</v>
      </c>
      <c r="L97" s="8">
        <v>0.0955571035183457</v>
      </c>
      <c r="M97" s="9">
        <f t="shared" si="1"/>
        <v>1.791612031</v>
      </c>
      <c r="N97" s="7">
        <f t="shared" si="2"/>
        <v>60.91480905</v>
      </c>
      <c r="O97" s="9">
        <f t="shared" si="3"/>
        <v>7.614351131</v>
      </c>
      <c r="P97" s="9">
        <v>2.00173242408066</v>
      </c>
      <c r="Q97" s="9">
        <v>1.747905568388666</v>
      </c>
      <c r="R97" s="9">
        <v>1.807838976719678</v>
      </c>
      <c r="S97" s="9">
        <v>1.615735198273488</v>
      </c>
      <c r="T97" s="9">
        <v>1.614079991947281</v>
      </c>
      <c r="U97" s="9">
        <v>1.905503196117776</v>
      </c>
      <c r="V97" s="9">
        <v>1.511902349023346</v>
      </c>
      <c r="W97" s="9">
        <v>1.852895132246365</v>
      </c>
      <c r="X97" s="9">
        <v>1.736143936992419</v>
      </c>
      <c r="Y97" s="9">
        <v>1.674886759184965</v>
      </c>
      <c r="Z97" s="9">
        <v>2.019445642635981</v>
      </c>
      <c r="AA97" s="9">
        <v>1.770916616193773</v>
      </c>
      <c r="AB97" s="9">
        <v>1.650323861815161</v>
      </c>
      <c r="AC97" s="9">
        <v>2.094597877738268</v>
      </c>
      <c r="AD97" s="9">
        <v>1.579907378020158</v>
      </c>
      <c r="AE97" s="9">
        <v>2.029204478041303</v>
      </c>
      <c r="AF97" s="9">
        <v>2.047627417783681</v>
      </c>
      <c r="AG97" s="9">
        <v>1.530868113414784</v>
      </c>
      <c r="AH97" s="9">
        <v>1.776431669001917</v>
      </c>
      <c r="AI97" s="9">
        <v>1.948109358865222</v>
      </c>
      <c r="AJ97" s="9">
        <v>1.789739848967298</v>
      </c>
      <c r="AK97" s="9">
        <v>1.64964328257072</v>
      </c>
      <c r="AL97" s="9">
        <v>1.99439187593742</v>
      </c>
      <c r="AM97" s="9">
        <v>1.704133352371309</v>
      </c>
      <c r="AN97" s="9">
        <v>1.787845046957274</v>
      </c>
      <c r="AO97" s="9">
        <v>1.797071793606323</v>
      </c>
      <c r="AP97" s="9">
        <v>1.630756907324402</v>
      </c>
      <c r="AQ97" s="9">
        <v>1.740158134685358</v>
      </c>
      <c r="AR97" s="9">
        <v>1.810913196670212</v>
      </c>
      <c r="AS97" s="9">
        <v>1.785641963478802</v>
      </c>
      <c r="AT97" s="9">
        <v>1.846202736636092</v>
      </c>
      <c r="AU97" s="9">
        <v>1.963764117670016</v>
      </c>
      <c r="AV97" s="9">
        <v>1.833882638757495</v>
      </c>
      <c r="AW97" s="9">
        <v>1.664608204558988</v>
      </c>
    </row>
    <row r="98" ht="15.0" customHeight="1">
      <c r="A98" s="5" t="s">
        <v>259</v>
      </c>
      <c r="B98" s="5" t="s">
        <v>260</v>
      </c>
      <c r="C98" s="5" t="s">
        <v>76</v>
      </c>
      <c r="D98" s="5" t="s">
        <v>83</v>
      </c>
      <c r="E98" s="5">
        <v>5.5</v>
      </c>
      <c r="F98" s="6">
        <v>0.9705882353</v>
      </c>
      <c r="G98" s="5">
        <v>85.0</v>
      </c>
      <c r="H98" s="5">
        <v>3044.0</v>
      </c>
      <c r="I98" s="5" t="b">
        <v>1</v>
      </c>
      <c r="J98" s="5" t="b">
        <v>0</v>
      </c>
      <c r="K98" s="7">
        <v>82.977647059228</v>
      </c>
      <c r="L98" s="8">
        <v>0.07982254726058048</v>
      </c>
      <c r="M98" s="9">
        <f t="shared" si="1"/>
        <v>3.54480747</v>
      </c>
      <c r="N98" s="7">
        <f t="shared" si="2"/>
        <v>120.523454</v>
      </c>
      <c r="O98" s="9">
        <f t="shared" si="3"/>
        <v>21.91335527</v>
      </c>
      <c r="P98" s="9">
        <v>3.33431259164228</v>
      </c>
      <c r="Q98" s="9">
        <v>3.044447000697561</v>
      </c>
      <c r="R98" s="9">
        <v>4.177161754224563</v>
      </c>
      <c r="S98" s="9">
        <v>3.778782772366178</v>
      </c>
      <c r="T98" s="9">
        <v>3.460542557606848</v>
      </c>
      <c r="U98" s="9">
        <v>3.873370298445202</v>
      </c>
      <c r="V98" s="9">
        <v>3.399609858920912</v>
      </c>
      <c r="W98" s="9">
        <v>2.704930759625725</v>
      </c>
      <c r="X98" s="9">
        <v>4.065700273012886</v>
      </c>
      <c r="Y98" s="9">
        <v>3.726481207075251</v>
      </c>
      <c r="Z98" s="9">
        <v>3.48753474081096</v>
      </c>
      <c r="AA98" s="9">
        <v>3.256876501246683</v>
      </c>
      <c r="AB98" s="9">
        <v>2.98503972087939</v>
      </c>
      <c r="AC98" s="9">
        <v>3.552652260774876</v>
      </c>
      <c r="AD98" s="9">
        <v>4.385912309555673</v>
      </c>
      <c r="AE98" s="9">
        <v>4.186402995036917</v>
      </c>
      <c r="AF98" s="9">
        <v>3.12455181987382</v>
      </c>
      <c r="AG98" s="9">
        <v>2.966695032117708</v>
      </c>
      <c r="AH98" s="9">
        <v>3.984590831563714</v>
      </c>
      <c r="AI98" s="9">
        <v>2.869680702833898</v>
      </c>
      <c r="AJ98" s="9">
        <v>3.559303323246478</v>
      </c>
      <c r="AK98" s="9">
        <v>3.290546157016052</v>
      </c>
      <c r="AL98" s="9">
        <v>4.407801852027521</v>
      </c>
      <c r="AM98" s="9">
        <v>3.465952770553656</v>
      </c>
      <c r="AN98" s="9">
        <v>2.809954404496642</v>
      </c>
      <c r="AO98" s="9">
        <v>4.165802682980702</v>
      </c>
      <c r="AP98" s="9">
        <v>3.557092939377659</v>
      </c>
      <c r="AQ98" s="9">
        <v>3.486499634489067</v>
      </c>
      <c r="AR98" s="9">
        <v>2.985113746579999</v>
      </c>
      <c r="AS98" s="9">
        <v>4.341329453651728</v>
      </c>
      <c r="AT98" s="9">
        <v>3.656098051642554</v>
      </c>
      <c r="AU98" s="9">
        <v>3.761820519483894</v>
      </c>
      <c r="AV98" s="9">
        <v>3.559599459595769</v>
      </c>
      <c r="AW98" s="9">
        <v>3.111262992323548</v>
      </c>
    </row>
    <row r="99" ht="15.0" customHeight="1">
      <c r="A99" s="5" t="s">
        <v>261</v>
      </c>
      <c r="B99" s="5" t="s">
        <v>262</v>
      </c>
      <c r="C99" s="5" t="s">
        <v>82</v>
      </c>
      <c r="D99" s="5" t="s">
        <v>83</v>
      </c>
      <c r="E99" s="5">
        <v>5.0</v>
      </c>
      <c r="F99" s="6"/>
      <c r="G99" s="5"/>
      <c r="H99" s="5">
        <v>3090.0</v>
      </c>
      <c r="I99" s="5" t="b">
        <v>1</v>
      </c>
      <c r="J99" s="5" t="b">
        <v>0</v>
      </c>
      <c r="K99" s="7">
        <v>80.76</v>
      </c>
      <c r="L99" s="8">
        <v>0.05596080327004914</v>
      </c>
      <c r="M99" s="9">
        <f t="shared" si="1"/>
        <v>3.044871705</v>
      </c>
      <c r="N99" s="7">
        <f t="shared" si="2"/>
        <v>103.525638</v>
      </c>
      <c r="O99" s="9">
        <f t="shared" si="3"/>
        <v>20.7051276</v>
      </c>
      <c r="P99" s="9">
        <v>2.597660134829458</v>
      </c>
      <c r="Q99" s="9">
        <v>3.425774780078888</v>
      </c>
      <c r="R99" s="9">
        <v>0.0</v>
      </c>
      <c r="S99" s="9">
        <v>3.057044734688554</v>
      </c>
      <c r="T99" s="9">
        <v>6.299015657671775</v>
      </c>
      <c r="U99" s="9">
        <v>2.643729904431745</v>
      </c>
      <c r="V99" s="9">
        <v>2.580747658299043</v>
      </c>
      <c r="W99" s="9">
        <v>3.756191548902456</v>
      </c>
      <c r="X99" s="9">
        <v>2.808235222529322</v>
      </c>
      <c r="Y99" s="9">
        <v>3.054979464865736</v>
      </c>
      <c r="Z99" s="9">
        <v>3.140569715489621</v>
      </c>
      <c r="AA99" s="9">
        <v>3.051747087082818</v>
      </c>
      <c r="AB99" s="9">
        <v>3.589818461850196</v>
      </c>
      <c r="AC99" s="9">
        <v>2.97926642320929</v>
      </c>
      <c r="AD99" s="9">
        <v>2.994729659447658</v>
      </c>
      <c r="AE99" s="9">
        <v>2.393770097451783</v>
      </c>
      <c r="AF99" s="9">
        <v>3.811192900317367</v>
      </c>
      <c r="AG99" s="9">
        <v>3.206066232997916</v>
      </c>
      <c r="AH99" s="9">
        <v>2.994924269424222</v>
      </c>
      <c r="AI99" s="9">
        <v>2.640666559636136</v>
      </c>
      <c r="AJ99" s="9">
        <v>2.92494277069955</v>
      </c>
      <c r="AK99" s="9">
        <v>3.05954648937291</v>
      </c>
      <c r="AL99" s="9">
        <v>2.463939344769297</v>
      </c>
      <c r="AM99" s="9">
        <v>3.593815450776195</v>
      </c>
      <c r="AN99" s="9">
        <v>2.596647722939286</v>
      </c>
      <c r="AO99" s="9">
        <v>2.694066507005172</v>
      </c>
      <c r="AP99" s="9">
        <v>3.583855028057401</v>
      </c>
      <c r="AQ99" s="9">
        <v>3.235133946649807</v>
      </c>
      <c r="AR99" s="9">
        <v>2.871943234472526</v>
      </c>
      <c r="AS99" s="9">
        <v>3.054143179319357</v>
      </c>
      <c r="AT99" s="9">
        <v>2.974959626148758</v>
      </c>
      <c r="AU99" s="9">
        <v>3.24893325372748</v>
      </c>
      <c r="AV99" s="9">
        <v>2.702692698168236</v>
      </c>
      <c r="AW99" s="9">
        <v>3.494888210630553</v>
      </c>
    </row>
    <row r="100" ht="15.0" customHeight="1">
      <c r="A100" s="5" t="s">
        <v>263</v>
      </c>
      <c r="B100" s="5" t="s">
        <v>264</v>
      </c>
      <c r="C100" s="5" t="s">
        <v>59</v>
      </c>
      <c r="D100" s="5" t="s">
        <v>83</v>
      </c>
      <c r="E100" s="5">
        <v>5.5</v>
      </c>
      <c r="F100" s="6">
        <v>0.5588235294</v>
      </c>
      <c r="G100" s="5">
        <v>85.0</v>
      </c>
      <c r="H100" s="5">
        <v>2158.0</v>
      </c>
      <c r="I100" s="5" t="b">
        <v>0</v>
      </c>
      <c r="J100" s="5" t="b">
        <v>0</v>
      </c>
      <c r="K100" s="7">
        <v>16.24</v>
      </c>
      <c r="L100" s="8">
        <v>0.07985975367675317</v>
      </c>
      <c r="M100" s="9">
        <f t="shared" si="1"/>
        <v>1.193672217</v>
      </c>
      <c r="N100" s="7">
        <f t="shared" si="2"/>
        <v>40.58485538</v>
      </c>
      <c r="O100" s="9">
        <f t="shared" si="3"/>
        <v>7.379064614</v>
      </c>
      <c r="P100" s="9">
        <v>1.198482585193528</v>
      </c>
      <c r="Q100" s="9">
        <v>1.206933291516973</v>
      </c>
      <c r="R100" s="9">
        <v>0.0</v>
      </c>
      <c r="S100" s="9">
        <v>1.195696395590974</v>
      </c>
      <c r="T100" s="9">
        <v>1.17543454900747</v>
      </c>
      <c r="U100" s="9">
        <v>2.432000553479144</v>
      </c>
      <c r="V100" s="9">
        <v>1.229250538764759</v>
      </c>
      <c r="W100" s="9">
        <v>1.203106193105576</v>
      </c>
      <c r="X100" s="9">
        <v>1.162218228329337</v>
      </c>
      <c r="Y100" s="9">
        <v>1.176988456991735</v>
      </c>
      <c r="Z100" s="9">
        <v>1.184240024875017</v>
      </c>
      <c r="AA100" s="9">
        <v>1.138293534205049</v>
      </c>
      <c r="AB100" s="9">
        <v>1.22609933176565</v>
      </c>
      <c r="AC100" s="9">
        <v>1.142111226335536</v>
      </c>
      <c r="AD100" s="9">
        <v>1.193839108041415</v>
      </c>
      <c r="AE100" s="9">
        <v>1.235415718785909</v>
      </c>
      <c r="AF100" s="9">
        <v>1.205586153298437</v>
      </c>
      <c r="AG100" s="9">
        <v>1.194220520072758</v>
      </c>
      <c r="AH100" s="9">
        <v>1.197863763559434</v>
      </c>
      <c r="AI100" s="9">
        <v>1.242423282222359</v>
      </c>
      <c r="AJ100" s="9">
        <v>1.169032286987453</v>
      </c>
      <c r="AK100" s="9">
        <v>1.185799535795334</v>
      </c>
      <c r="AL100" s="9">
        <v>1.255586572784041</v>
      </c>
      <c r="AM100" s="9">
        <v>1.171101297036217</v>
      </c>
      <c r="AN100" s="9">
        <v>1.183431991482518</v>
      </c>
      <c r="AO100" s="9">
        <v>1.246131707077972</v>
      </c>
      <c r="AP100" s="9">
        <v>1.166156936342113</v>
      </c>
      <c r="AQ100" s="9">
        <v>1.166019939911489</v>
      </c>
      <c r="AR100" s="9">
        <v>1.159194450365712</v>
      </c>
      <c r="AS100" s="9">
        <v>1.145366856975935</v>
      </c>
      <c r="AT100" s="9">
        <v>1.236893326136792</v>
      </c>
      <c r="AU100" s="9">
        <v>1.151982529738067</v>
      </c>
      <c r="AV100" s="9">
        <v>1.217522972338523</v>
      </c>
      <c r="AW100" s="9">
        <v>1.190431518683378</v>
      </c>
    </row>
    <row r="101" ht="15.0" customHeight="1">
      <c r="A101" s="5" t="s">
        <v>265</v>
      </c>
      <c r="B101" s="5" t="s">
        <v>266</v>
      </c>
      <c r="C101" s="5" t="s">
        <v>59</v>
      </c>
      <c r="D101" s="5" t="s">
        <v>52</v>
      </c>
      <c r="E101" s="5">
        <v>9.5</v>
      </c>
      <c r="F101" s="6">
        <v>0.4848484848</v>
      </c>
      <c r="G101" s="5">
        <v>74.0</v>
      </c>
      <c r="H101" s="5">
        <v>1690.0</v>
      </c>
      <c r="I101" s="5" t="b">
        <v>1</v>
      </c>
      <c r="J101" s="5" t="b">
        <v>0</v>
      </c>
      <c r="K101" s="7">
        <v>74.05</v>
      </c>
      <c r="L101" s="8">
        <v>0.08207707609352458</v>
      </c>
      <c r="M101" s="9">
        <f t="shared" si="1"/>
        <v>3.810466928</v>
      </c>
      <c r="N101" s="7">
        <f t="shared" si="2"/>
        <v>129.5558755</v>
      </c>
      <c r="O101" s="9">
        <f t="shared" si="3"/>
        <v>13.63746058</v>
      </c>
      <c r="P101" s="9">
        <v>3.864208823702217</v>
      </c>
      <c r="Q101" s="9">
        <v>3.952427533764431</v>
      </c>
      <c r="R101" s="9">
        <v>0.0</v>
      </c>
      <c r="S101" s="9">
        <v>3.765434489073857</v>
      </c>
      <c r="T101" s="9">
        <v>3.511348238459759</v>
      </c>
      <c r="U101" s="9">
        <v>8.301437889918791</v>
      </c>
      <c r="V101" s="9">
        <v>4.308700546858891</v>
      </c>
      <c r="W101" s="9">
        <v>3.893075926699471</v>
      </c>
      <c r="X101" s="9">
        <v>3.342849710206933</v>
      </c>
      <c r="Y101" s="9">
        <v>3.60409742259576</v>
      </c>
      <c r="Z101" s="9">
        <v>3.6939114000486</v>
      </c>
      <c r="AA101" s="9">
        <v>3.068696682551508</v>
      </c>
      <c r="AB101" s="9">
        <v>4.345612205210459</v>
      </c>
      <c r="AC101" s="9">
        <v>3.090738727519407</v>
      </c>
      <c r="AD101" s="9">
        <v>3.842566410110154</v>
      </c>
      <c r="AE101" s="9">
        <v>4.452046697412931</v>
      </c>
      <c r="AF101" s="9">
        <v>3.93722253872119</v>
      </c>
      <c r="AG101" s="9">
        <v>3.877978454251479</v>
      </c>
      <c r="AH101" s="9">
        <v>3.839436415970164</v>
      </c>
      <c r="AI101" s="9">
        <v>4.394095777730628</v>
      </c>
      <c r="AJ101" s="9">
        <v>3.428689706497718</v>
      </c>
      <c r="AK101" s="9">
        <v>3.711209259753353</v>
      </c>
      <c r="AL101" s="9">
        <v>4.608329358766921</v>
      </c>
      <c r="AM101" s="9">
        <v>3.506474517891364</v>
      </c>
      <c r="AN101" s="9">
        <v>3.754482555690739</v>
      </c>
      <c r="AO101" s="9">
        <v>4.509371536286943</v>
      </c>
      <c r="AP101" s="9">
        <v>3.382774968920921</v>
      </c>
      <c r="AQ101" s="9">
        <v>3.475276522299863</v>
      </c>
      <c r="AR101" s="9">
        <v>3.350089536472355</v>
      </c>
      <c r="AS101" s="9">
        <v>3.093826455533238</v>
      </c>
      <c r="AT101" s="9">
        <v>4.412081186749442</v>
      </c>
      <c r="AU101" s="9">
        <v>3.234079370623892</v>
      </c>
      <c r="AV101" s="9">
        <v>4.168338801533543</v>
      </c>
      <c r="AW101" s="9">
        <v>3.83496587791047</v>
      </c>
    </row>
    <row r="102" ht="15.0" customHeight="1">
      <c r="A102" s="5" t="s">
        <v>267</v>
      </c>
      <c r="B102" s="5" t="s">
        <v>268</v>
      </c>
      <c r="C102" s="5" t="s">
        <v>59</v>
      </c>
      <c r="D102" s="5" t="s">
        <v>52</v>
      </c>
      <c r="E102" s="5">
        <v>7.0</v>
      </c>
      <c r="F102" s="6">
        <v>0.3</v>
      </c>
      <c r="G102" s="5">
        <v>68.0</v>
      </c>
      <c r="H102" s="5">
        <v>917.0</v>
      </c>
      <c r="I102" s="5" t="b">
        <v>0</v>
      </c>
      <c r="J102" s="5" t="b">
        <v>0</v>
      </c>
      <c r="K102" s="7">
        <v>36.465</v>
      </c>
      <c r="L102" s="8">
        <v>0.1045707285895755</v>
      </c>
      <c r="M102" s="9">
        <f t="shared" si="1"/>
        <v>1.883154895</v>
      </c>
      <c r="N102" s="7">
        <f t="shared" si="2"/>
        <v>64.02726643</v>
      </c>
      <c r="O102" s="9">
        <f t="shared" si="3"/>
        <v>9.146752347</v>
      </c>
      <c r="P102" s="9">
        <v>0.0</v>
      </c>
      <c r="Q102" s="9">
        <v>2.037633244847707</v>
      </c>
      <c r="R102" s="9">
        <v>0.0</v>
      </c>
      <c r="S102" s="9">
        <v>1.955986858665175</v>
      </c>
      <c r="T102" s="9">
        <v>1.808765903534642</v>
      </c>
      <c r="U102" s="9">
        <v>4.207026467160868</v>
      </c>
      <c r="V102" s="9">
        <v>2.199788576651383</v>
      </c>
      <c r="W102" s="9">
        <v>2.009825854184554</v>
      </c>
      <c r="X102" s="9">
        <v>1.712737175574069</v>
      </c>
      <c r="Y102" s="9">
        <v>1.820056474543835</v>
      </c>
      <c r="Z102" s="9">
        <v>1.872745786229767</v>
      </c>
      <c r="AA102" s="9">
        <v>1.538902263456477</v>
      </c>
      <c r="AB102" s="9">
        <v>2.176892158878659</v>
      </c>
      <c r="AC102" s="9">
        <v>1.5666413088356</v>
      </c>
      <c r="AD102" s="9">
        <v>1.942491956022854</v>
      </c>
      <c r="AE102" s="9">
        <v>2.244584281106293</v>
      </c>
      <c r="AF102" s="9">
        <v>2.027845046402501</v>
      </c>
      <c r="AG102" s="9">
        <v>1.945263265307084</v>
      </c>
      <c r="AH102" s="9">
        <v>1.971734780806479</v>
      </c>
      <c r="AI102" s="9">
        <v>2.295500676016319</v>
      </c>
      <c r="AJ102" s="9">
        <v>1.762247580256533</v>
      </c>
      <c r="AK102" s="9">
        <v>1.884077067723744</v>
      </c>
      <c r="AL102" s="9">
        <v>2.391144091396304</v>
      </c>
      <c r="AM102" s="9">
        <v>1.77728084162777</v>
      </c>
      <c r="AN102" s="9">
        <v>1.866874680290296</v>
      </c>
      <c r="AO102" s="9">
        <v>2.322445794124049</v>
      </c>
      <c r="AP102" s="9">
        <v>1.741355512665478</v>
      </c>
      <c r="AQ102" s="9">
        <v>1.740360107568378</v>
      </c>
      <c r="AR102" s="9">
        <v>1.690766646971311</v>
      </c>
      <c r="AS102" s="9">
        <v>1.590296460425876</v>
      </c>
      <c r="AT102" s="9">
        <v>2.255320457821896</v>
      </c>
      <c r="AU102" s="9">
        <v>1.638365409070726</v>
      </c>
      <c r="AV102" s="9">
        <v>2.114577017896773</v>
      </c>
      <c r="AW102" s="9">
        <v>1.917732684555891</v>
      </c>
    </row>
    <row r="103" ht="15.0" customHeight="1">
      <c r="A103" s="5" t="s">
        <v>269</v>
      </c>
      <c r="B103" s="5" t="s">
        <v>270</v>
      </c>
      <c r="C103" s="5" t="s">
        <v>67</v>
      </c>
      <c r="D103" s="5" t="s">
        <v>103</v>
      </c>
      <c r="E103" s="5">
        <v>5.0</v>
      </c>
      <c r="F103" s="6">
        <v>0.92</v>
      </c>
      <c r="G103" s="5">
        <v>89.0</v>
      </c>
      <c r="H103" s="5">
        <v>2210.0</v>
      </c>
      <c r="I103" s="5" t="b">
        <v>0</v>
      </c>
      <c r="J103" s="5" t="b">
        <v>0</v>
      </c>
      <c r="K103" s="7">
        <v>0.0</v>
      </c>
      <c r="L103" s="8">
        <v>0.07283333338929159</v>
      </c>
      <c r="M103" s="9">
        <f t="shared" si="1"/>
        <v>0</v>
      </c>
      <c r="N103" s="7">
        <f t="shared" si="2"/>
        <v>0</v>
      </c>
      <c r="O103" s="9">
        <f t="shared" si="3"/>
        <v>0</v>
      </c>
      <c r="P103" s="9">
        <v>0.0</v>
      </c>
      <c r="Q103" s="9">
        <v>0.0</v>
      </c>
      <c r="R103" s="9">
        <v>0.0</v>
      </c>
      <c r="S103" s="9">
        <v>0.0</v>
      </c>
      <c r="T103" s="9">
        <v>0.0</v>
      </c>
      <c r="U103" s="9">
        <v>0.0</v>
      </c>
      <c r="V103" s="9">
        <v>0.0</v>
      </c>
      <c r="W103" s="9">
        <v>0.0</v>
      </c>
      <c r="X103" s="9">
        <v>0.0</v>
      </c>
      <c r="Y103" s="9">
        <v>0.0</v>
      </c>
      <c r="Z103" s="9">
        <v>0.0</v>
      </c>
      <c r="AA103" s="9">
        <v>0.0</v>
      </c>
      <c r="AB103" s="9">
        <v>0.0</v>
      </c>
      <c r="AC103" s="9">
        <v>0.0</v>
      </c>
      <c r="AD103" s="9">
        <v>0.0</v>
      </c>
      <c r="AE103" s="9">
        <v>0.0</v>
      </c>
      <c r="AF103" s="9">
        <v>0.0</v>
      </c>
      <c r="AG103" s="9">
        <v>0.0</v>
      </c>
      <c r="AH103" s="9">
        <v>0.0</v>
      </c>
      <c r="AI103" s="9">
        <v>0.0</v>
      </c>
      <c r="AJ103" s="9">
        <v>0.0</v>
      </c>
      <c r="AK103" s="9">
        <v>0.0</v>
      </c>
      <c r="AL103" s="9">
        <v>0.0</v>
      </c>
      <c r="AM103" s="9">
        <v>0.0</v>
      </c>
      <c r="AN103" s="9">
        <v>0.0</v>
      </c>
      <c r="AO103" s="9">
        <v>0.0</v>
      </c>
      <c r="AP103" s="9">
        <v>0.0</v>
      </c>
      <c r="AQ103" s="9">
        <v>0.0</v>
      </c>
      <c r="AR103" s="9">
        <v>0.0</v>
      </c>
      <c r="AS103" s="9">
        <v>0.0</v>
      </c>
      <c r="AT103" s="9">
        <v>0.0</v>
      </c>
      <c r="AU103" s="9">
        <v>0.0</v>
      </c>
      <c r="AV103" s="9">
        <v>0.0</v>
      </c>
      <c r="AW103" s="9">
        <v>0.0</v>
      </c>
    </row>
    <row r="104" ht="15.0" customHeight="1">
      <c r="A104" s="5" t="s">
        <v>271</v>
      </c>
      <c r="B104" s="5" t="s">
        <v>272</v>
      </c>
      <c r="C104" s="5" t="s">
        <v>67</v>
      </c>
      <c r="D104" s="5" t="s">
        <v>83</v>
      </c>
      <c r="E104" s="5">
        <v>6.0</v>
      </c>
      <c r="F104" s="6">
        <v>0.7647058824</v>
      </c>
      <c r="G104" s="10">
        <v>84.0</v>
      </c>
      <c r="H104" s="5">
        <v>1296.0</v>
      </c>
      <c r="I104" s="5" t="b">
        <v>1</v>
      </c>
      <c r="J104" s="5" t="b">
        <v>0</v>
      </c>
      <c r="K104" s="7">
        <v>68.056470591424</v>
      </c>
      <c r="L104" s="8">
        <v>0.08622203692065382</v>
      </c>
      <c r="M104" s="9">
        <f t="shared" si="1"/>
        <v>3.714242585</v>
      </c>
      <c r="N104" s="7">
        <f t="shared" si="2"/>
        <v>126.2842479</v>
      </c>
      <c r="O104" s="9">
        <f t="shared" si="3"/>
        <v>21.04737465</v>
      </c>
      <c r="P104" s="9">
        <v>0.0</v>
      </c>
      <c r="Q104" s="9">
        <v>0.0</v>
      </c>
      <c r="R104" s="9">
        <v>3.965140503334029</v>
      </c>
      <c r="S104" s="9">
        <v>4.782993356989635</v>
      </c>
      <c r="T104" s="9">
        <v>3.354188409409474</v>
      </c>
      <c r="U104" s="9">
        <v>4.964845343048663</v>
      </c>
      <c r="V104" s="9">
        <v>4.427090462852974</v>
      </c>
      <c r="W104" s="9">
        <v>3.023085089218367</v>
      </c>
      <c r="X104" s="9">
        <v>4.182229996308334</v>
      </c>
      <c r="Y104" s="9">
        <v>3.670323768501156</v>
      </c>
      <c r="Z104" s="9">
        <v>3.331338536036626</v>
      </c>
      <c r="AA104" s="9">
        <v>3.908923704896631</v>
      </c>
      <c r="AB104" s="9">
        <v>3.766490359916272</v>
      </c>
      <c r="AC104" s="9">
        <v>3.986344188722789</v>
      </c>
      <c r="AD104" s="9">
        <v>3.442246435750544</v>
      </c>
      <c r="AE104" s="9">
        <v>3.922165593893213</v>
      </c>
      <c r="AF104" s="9">
        <v>3.858655608391297</v>
      </c>
      <c r="AG104" s="9">
        <v>4.015032962164932</v>
      </c>
      <c r="AH104" s="9">
        <v>4.005768873310416</v>
      </c>
      <c r="AI104" s="9">
        <v>4.080258314959193</v>
      </c>
      <c r="AJ104" s="9">
        <v>3.596871176306903</v>
      </c>
      <c r="AK104" s="9">
        <v>3.269334241441905</v>
      </c>
      <c r="AL104" s="9">
        <v>4.713768088479069</v>
      </c>
      <c r="AM104" s="9">
        <v>3.277185912618764</v>
      </c>
      <c r="AN104" s="9">
        <v>3.086948845073627</v>
      </c>
      <c r="AO104" s="9">
        <v>4.479815626386329</v>
      </c>
      <c r="AP104" s="9">
        <v>4.592545994303682</v>
      </c>
      <c r="AQ104" s="9">
        <v>2.899318750611992</v>
      </c>
      <c r="AR104" s="9">
        <v>4.209264394657309</v>
      </c>
      <c r="AS104" s="9">
        <v>4.929688641572332</v>
      </c>
      <c r="AT104" s="9">
        <v>3.688396387703464</v>
      </c>
      <c r="AU104" s="9">
        <v>3.976644646102684</v>
      </c>
      <c r="AV104" s="9">
        <v>4.749208989109234</v>
      </c>
      <c r="AW104" s="9">
        <v>4.128134700245199</v>
      </c>
    </row>
    <row r="105" ht="15.0" customHeight="1">
      <c r="A105" s="5" t="s">
        <v>273</v>
      </c>
      <c r="B105" s="5" t="s">
        <v>274</v>
      </c>
      <c r="C105" s="5" t="s">
        <v>67</v>
      </c>
      <c r="D105" s="5" t="s">
        <v>83</v>
      </c>
      <c r="E105" s="5">
        <v>5.5</v>
      </c>
      <c r="F105" s="6">
        <v>0.90625</v>
      </c>
      <c r="G105" s="5">
        <v>85.0</v>
      </c>
      <c r="H105" s="5">
        <v>2642.0</v>
      </c>
      <c r="I105" s="5" t="b">
        <v>1</v>
      </c>
      <c r="J105" s="5" t="b">
        <v>0</v>
      </c>
      <c r="K105" s="7">
        <v>78.55375</v>
      </c>
      <c r="L105" s="8">
        <v>0.08264496943863849</v>
      </c>
      <c r="M105" s="9">
        <f t="shared" si="1"/>
        <v>3.893588049</v>
      </c>
      <c r="N105" s="7">
        <f t="shared" si="2"/>
        <v>132.3819937</v>
      </c>
      <c r="O105" s="9">
        <f t="shared" si="3"/>
        <v>24.06945339</v>
      </c>
      <c r="P105" s="9">
        <v>4.775559088870175</v>
      </c>
      <c r="Q105" s="9">
        <v>3.380054923980468</v>
      </c>
      <c r="R105" s="9">
        <v>3.902273330817484</v>
      </c>
      <c r="S105" s="9">
        <v>4.681724892148114</v>
      </c>
      <c r="T105" s="9">
        <v>3.305883199443869</v>
      </c>
      <c r="U105" s="9">
        <v>4.871412400258954</v>
      </c>
      <c r="V105" s="9">
        <v>4.334333174969633</v>
      </c>
      <c r="W105" s="9">
        <v>2.990879981302054</v>
      </c>
      <c r="X105" s="9">
        <v>4.119266878380617</v>
      </c>
      <c r="Y105" s="9">
        <v>3.622657007385872</v>
      </c>
      <c r="Z105" s="9">
        <v>3.28877938749187</v>
      </c>
      <c r="AA105" s="9">
        <v>3.84271679906147</v>
      </c>
      <c r="AB105" s="9">
        <v>3.712391454305201</v>
      </c>
      <c r="AC105" s="9">
        <v>3.91953730568895</v>
      </c>
      <c r="AD105" s="9">
        <v>3.390081682252911</v>
      </c>
      <c r="AE105" s="9">
        <v>3.852992183849911</v>
      </c>
      <c r="AF105" s="9">
        <v>3.799340606856416</v>
      </c>
      <c r="AG105" s="9">
        <v>3.943419943650521</v>
      </c>
      <c r="AH105" s="9">
        <v>3.934937454494347</v>
      </c>
      <c r="AI105" s="9">
        <v>4.015731114063978</v>
      </c>
      <c r="AJ105" s="9">
        <v>3.546613212275297</v>
      </c>
      <c r="AK105" s="9">
        <v>3.225107619969781</v>
      </c>
      <c r="AL105" s="9">
        <v>4.623149940998289</v>
      </c>
      <c r="AM105" s="9">
        <v>3.230737422675847</v>
      </c>
      <c r="AN105" s="9">
        <v>3.056661965642532</v>
      </c>
      <c r="AO105" s="9">
        <v>4.40076778244934</v>
      </c>
      <c r="AP105" s="9">
        <v>4.506588254122477</v>
      </c>
      <c r="AQ105" s="9">
        <v>2.8657060563243</v>
      </c>
      <c r="AR105" s="9">
        <v>4.144099705463405</v>
      </c>
      <c r="AS105" s="9">
        <v>4.839183274666656</v>
      </c>
      <c r="AT105" s="9">
        <v>3.624124114307428</v>
      </c>
      <c r="AU105" s="9">
        <v>3.912705911691867</v>
      </c>
      <c r="AV105" s="9">
        <v>4.65332330549684</v>
      </c>
      <c r="AW105" s="9">
        <v>4.069252285221259</v>
      </c>
    </row>
    <row r="106" ht="15.0" customHeight="1">
      <c r="A106" s="5" t="s">
        <v>275</v>
      </c>
      <c r="B106" s="5" t="s">
        <v>276</v>
      </c>
      <c r="C106" s="5" t="s">
        <v>67</v>
      </c>
      <c r="D106" s="5" t="s">
        <v>52</v>
      </c>
      <c r="E106" s="5">
        <v>6.0</v>
      </c>
      <c r="F106" s="6">
        <v>0.8333333333</v>
      </c>
      <c r="G106" s="5">
        <v>77.0</v>
      </c>
      <c r="H106" s="5">
        <v>852.0</v>
      </c>
      <c r="I106" s="5" t="b">
        <v>1</v>
      </c>
      <c r="J106" s="5" t="b">
        <v>0</v>
      </c>
      <c r="K106" s="7">
        <v>67.99166666486501</v>
      </c>
      <c r="L106" s="8">
        <v>0.06860763636982564</v>
      </c>
      <c r="M106" s="9">
        <f t="shared" si="1"/>
        <v>2.315577522</v>
      </c>
      <c r="N106" s="7">
        <f t="shared" si="2"/>
        <v>78.72963575</v>
      </c>
      <c r="O106" s="9">
        <f t="shared" si="3"/>
        <v>13.12160596</v>
      </c>
      <c r="P106" s="9">
        <v>0.0</v>
      </c>
      <c r="Q106" s="9">
        <v>0.0</v>
      </c>
      <c r="R106" s="9">
        <v>2.462300521164162</v>
      </c>
      <c r="S106" s="9">
        <v>2.725551554883572</v>
      </c>
      <c r="T106" s="9">
        <v>2.290212304623539</v>
      </c>
      <c r="U106" s="9">
        <v>2.755608213329609</v>
      </c>
      <c r="V106" s="9">
        <v>2.625254424028219</v>
      </c>
      <c r="W106" s="9">
        <v>2.182673814140617</v>
      </c>
      <c r="X106" s="9">
        <v>2.514616309275244</v>
      </c>
      <c r="Y106" s="9">
        <v>2.365043485153596</v>
      </c>
      <c r="Z106" s="9">
        <v>2.274729777605081</v>
      </c>
      <c r="AA106" s="9">
        <v>2.454604676572318</v>
      </c>
      <c r="AB106" s="9">
        <v>2.399331284000695</v>
      </c>
      <c r="AC106" s="9">
        <v>2.474245993450327</v>
      </c>
      <c r="AD106" s="9">
        <v>2.318078002029826</v>
      </c>
      <c r="AE106" s="9">
        <v>2.462944975034514</v>
      </c>
      <c r="AF106" s="9">
        <v>2.430542931491674</v>
      </c>
      <c r="AG106" s="9">
        <v>2.489496411006932</v>
      </c>
      <c r="AH106" s="9">
        <v>2.485911645079467</v>
      </c>
      <c r="AI106" s="9">
        <v>2.49284107842047</v>
      </c>
      <c r="AJ106" s="9">
        <v>2.351905437573758</v>
      </c>
      <c r="AK106" s="9">
        <v>2.262735269849165</v>
      </c>
      <c r="AL106" s="9">
        <v>2.690399304643309</v>
      </c>
      <c r="AM106" s="9">
        <v>2.268485665813003</v>
      </c>
      <c r="AN106" s="9">
        <v>2.194678884279555</v>
      </c>
      <c r="AO106" s="9">
        <v>2.61407648735008</v>
      </c>
      <c r="AP106" s="9">
        <v>2.653174119294828</v>
      </c>
      <c r="AQ106" s="9">
        <v>2.155390923424261</v>
      </c>
      <c r="AR106" s="9">
        <v>2.524939450879597</v>
      </c>
      <c r="AS106" s="9">
        <v>2.742071274989363</v>
      </c>
      <c r="AT106" s="9">
        <v>2.39826521043432</v>
      </c>
      <c r="AU106" s="9">
        <v>2.466927692511495</v>
      </c>
      <c r="AV106" s="9">
        <v>2.708074177420838</v>
      </c>
      <c r="AW106" s="9">
        <v>2.494524448211367</v>
      </c>
    </row>
    <row r="107" ht="15.0" customHeight="1">
      <c r="A107" s="5" t="s">
        <v>277</v>
      </c>
      <c r="B107" s="5" t="s">
        <v>278</v>
      </c>
      <c r="C107" s="5" t="s">
        <v>67</v>
      </c>
      <c r="D107" s="5" t="s">
        <v>52</v>
      </c>
      <c r="E107" s="5">
        <v>7.5</v>
      </c>
      <c r="F107" s="6">
        <v>0.8846153846</v>
      </c>
      <c r="G107" s="10">
        <v>88.0</v>
      </c>
      <c r="H107" s="5">
        <v>2282.0</v>
      </c>
      <c r="I107" s="5" t="b">
        <v>1</v>
      </c>
      <c r="J107" s="5" t="b">
        <v>0</v>
      </c>
      <c r="K107" s="7">
        <v>80.49423076823</v>
      </c>
      <c r="L107" s="8">
        <v>0.05991838853720136</v>
      </c>
      <c r="M107" s="9">
        <f t="shared" si="1"/>
        <v>2.967974857</v>
      </c>
      <c r="N107" s="7">
        <f t="shared" si="2"/>
        <v>100.9111451</v>
      </c>
      <c r="O107" s="9">
        <f t="shared" si="3"/>
        <v>13.45481935</v>
      </c>
      <c r="P107" s="9">
        <v>3.309148517554043</v>
      </c>
      <c r="Q107" s="9">
        <v>2.705237147240589</v>
      </c>
      <c r="R107" s="9">
        <v>2.959896600974512</v>
      </c>
      <c r="S107" s="9">
        <v>3.401812804845713</v>
      </c>
      <c r="T107" s="9">
        <v>2.725661267820099</v>
      </c>
      <c r="U107" s="9">
        <v>3.3889179579548</v>
      </c>
      <c r="V107" s="9">
        <v>3.26516982191043</v>
      </c>
      <c r="W107" s="9">
        <v>2.54299612137044</v>
      </c>
      <c r="X107" s="9">
        <v>3.008652925657572</v>
      </c>
      <c r="Y107" s="9">
        <v>2.791379783595486</v>
      </c>
      <c r="Z107" s="9">
        <v>2.681590737165314</v>
      </c>
      <c r="AA107" s="9">
        <v>2.970111308179067</v>
      </c>
      <c r="AB107" s="9">
        <v>2.856354096044878</v>
      </c>
      <c r="AC107" s="9">
        <v>2.991339915166408</v>
      </c>
      <c r="AD107" s="9">
        <v>2.77137466307126</v>
      </c>
      <c r="AE107" s="9">
        <v>2.993183739173932</v>
      </c>
      <c r="AF107" s="9">
        <v>2.912186586818922</v>
      </c>
      <c r="AG107" s="9">
        <v>3.030323591896418</v>
      </c>
      <c r="AH107" s="9">
        <v>3.022964856861354</v>
      </c>
      <c r="AI107" s="9">
        <v>2.996674753900967</v>
      </c>
      <c r="AJ107" s="9">
        <v>2.792693791982074</v>
      </c>
      <c r="AK107" s="9">
        <v>2.679170827998987</v>
      </c>
      <c r="AL107" s="9">
        <v>3.314173315760873</v>
      </c>
      <c r="AM107" s="9">
        <v>2.695993867821221</v>
      </c>
      <c r="AN107" s="9">
        <v>2.54412581236401</v>
      </c>
      <c r="AO107" s="9">
        <v>3.183786485514549</v>
      </c>
      <c r="AP107" s="9">
        <v>3.255674399636373</v>
      </c>
      <c r="AQ107" s="9">
        <v>2.525126078551543</v>
      </c>
      <c r="AR107" s="9">
        <v>3.029588890285065</v>
      </c>
      <c r="AS107" s="9">
        <v>3.361253675241237</v>
      </c>
      <c r="AT107" s="9">
        <v>2.908111243025569</v>
      </c>
      <c r="AU107" s="9">
        <v>2.969720123115007</v>
      </c>
      <c r="AV107" s="9">
        <v>3.357785424950547</v>
      </c>
      <c r="AW107" s="9">
        <v>2.968964010008246</v>
      </c>
    </row>
    <row r="108" ht="15.0" customHeight="1">
      <c r="A108" s="5" t="s">
        <v>279</v>
      </c>
      <c r="B108" s="5" t="s">
        <v>280</v>
      </c>
      <c r="C108" s="5" t="s">
        <v>281</v>
      </c>
      <c r="D108" s="5" t="s">
        <v>52</v>
      </c>
      <c r="E108" s="5">
        <v>5.5</v>
      </c>
      <c r="F108" s="6"/>
      <c r="G108" s="5"/>
      <c r="H108" s="5">
        <v>761.0</v>
      </c>
      <c r="I108" s="5" t="b">
        <v>1</v>
      </c>
      <c r="J108" s="5" t="b">
        <v>0</v>
      </c>
      <c r="K108" s="7">
        <v>74.05</v>
      </c>
      <c r="L108" s="8">
        <v>0.06567015807924623</v>
      </c>
      <c r="M108" s="9">
        <f t="shared" si="1"/>
        <v>2.588349444</v>
      </c>
      <c r="N108" s="7">
        <f t="shared" si="2"/>
        <v>88.00388109</v>
      </c>
      <c r="O108" s="9">
        <f t="shared" si="3"/>
        <v>16.00070565</v>
      </c>
      <c r="P108" s="9">
        <v>2.632662131930665</v>
      </c>
      <c r="Q108" s="9">
        <v>2.6113518663583</v>
      </c>
      <c r="R108" s="9">
        <v>0.0</v>
      </c>
      <c r="S108" s="9">
        <v>2.63709138256443</v>
      </c>
      <c r="T108" s="9">
        <v>2.801814692547087</v>
      </c>
      <c r="U108" s="9">
        <v>4.795400249097646</v>
      </c>
      <c r="V108" s="9">
        <v>2.84291521565622</v>
      </c>
      <c r="W108" s="9">
        <v>2.430375328038324</v>
      </c>
      <c r="X108" s="9">
        <v>2.530207927086095</v>
      </c>
      <c r="Y108" s="9">
        <v>2.892310966992724</v>
      </c>
      <c r="Z108" s="9">
        <v>2.317626461025983</v>
      </c>
      <c r="AA108" s="9">
        <v>2.866864080096929</v>
      </c>
      <c r="AB108" s="9">
        <v>2.329350094846388</v>
      </c>
      <c r="AC108" s="9">
        <v>2.410540024923775</v>
      </c>
      <c r="AD108" s="9">
        <v>2.486177029252381</v>
      </c>
      <c r="AE108" s="9">
        <v>2.860293993920247</v>
      </c>
      <c r="AF108" s="9">
        <v>2.552663835816702</v>
      </c>
      <c r="AG108" s="9">
        <v>2.603626570506124</v>
      </c>
      <c r="AH108" s="9">
        <v>2.641692060764059</v>
      </c>
      <c r="AI108" s="9">
        <v>2.420326491275373</v>
      </c>
      <c r="AJ108" s="9">
        <v>2.467483342167824</v>
      </c>
      <c r="AK108" s="9">
        <v>2.755819110218248</v>
      </c>
      <c r="AL108" s="9">
        <v>2.43909593477884</v>
      </c>
      <c r="AM108" s="9">
        <v>2.598594102788756</v>
      </c>
      <c r="AN108" s="9">
        <v>2.615224332558146</v>
      </c>
      <c r="AO108" s="9">
        <v>2.490113715761761</v>
      </c>
      <c r="AP108" s="9">
        <v>2.617324989472952</v>
      </c>
      <c r="AQ108" s="9">
        <v>2.625943268599526</v>
      </c>
      <c r="AR108" s="9">
        <v>2.560529287024886</v>
      </c>
      <c r="AS108" s="9">
        <v>2.56540718552314</v>
      </c>
      <c r="AT108" s="9">
        <v>2.327842183236092</v>
      </c>
      <c r="AU108" s="9">
        <v>2.788591788775252</v>
      </c>
      <c r="AV108" s="9">
        <v>2.59778229246228</v>
      </c>
      <c r="AW108" s="9">
        <v>2.890839150002287</v>
      </c>
    </row>
    <row r="109" ht="15.0" customHeight="1">
      <c r="A109" s="5" t="s">
        <v>282</v>
      </c>
      <c r="B109" s="5" t="s">
        <v>283</v>
      </c>
      <c r="C109" s="5" t="s">
        <v>141</v>
      </c>
      <c r="D109" s="5" t="s">
        <v>56</v>
      </c>
      <c r="E109" s="5">
        <v>6.0</v>
      </c>
      <c r="F109" s="6">
        <v>0.0</v>
      </c>
      <c r="G109" s="5"/>
      <c r="H109" s="5">
        <v>387.0</v>
      </c>
      <c r="I109" s="5" t="b">
        <v>0</v>
      </c>
      <c r="J109" s="5" t="b">
        <v>0</v>
      </c>
      <c r="K109" s="7">
        <v>0.0</v>
      </c>
      <c r="L109" s="8">
        <v>0.1477116861119041</v>
      </c>
      <c r="M109" s="9">
        <f t="shared" si="1"/>
        <v>0</v>
      </c>
      <c r="N109" s="7">
        <f t="shared" si="2"/>
        <v>0</v>
      </c>
      <c r="O109" s="9">
        <f t="shared" si="3"/>
        <v>0</v>
      </c>
      <c r="P109" s="9">
        <v>0.0</v>
      </c>
      <c r="Q109" s="9">
        <v>0.0</v>
      </c>
      <c r="R109" s="9">
        <v>0.0</v>
      </c>
      <c r="S109" s="9">
        <v>0.0</v>
      </c>
      <c r="T109" s="9">
        <v>0.0</v>
      </c>
      <c r="U109" s="9">
        <v>0.0</v>
      </c>
      <c r="V109" s="9">
        <v>0.0</v>
      </c>
      <c r="W109" s="9">
        <v>0.0</v>
      </c>
      <c r="X109" s="9">
        <v>0.0</v>
      </c>
      <c r="Y109" s="9">
        <v>0.0</v>
      </c>
      <c r="Z109" s="9">
        <v>0.0</v>
      </c>
      <c r="AA109" s="9">
        <v>0.0</v>
      </c>
      <c r="AB109" s="9">
        <v>0.0</v>
      </c>
      <c r="AC109" s="9">
        <v>0.0</v>
      </c>
      <c r="AD109" s="9">
        <v>0.0</v>
      </c>
      <c r="AE109" s="9">
        <v>0.0</v>
      </c>
      <c r="AF109" s="9">
        <v>0.0</v>
      </c>
      <c r="AG109" s="9">
        <v>0.0</v>
      </c>
      <c r="AH109" s="9">
        <v>0.0</v>
      </c>
      <c r="AI109" s="9">
        <v>0.0</v>
      </c>
      <c r="AJ109" s="9">
        <v>0.0</v>
      </c>
      <c r="AK109" s="9">
        <v>0.0</v>
      </c>
      <c r="AL109" s="9">
        <v>0.0</v>
      </c>
      <c r="AM109" s="9">
        <v>0.0</v>
      </c>
      <c r="AN109" s="9">
        <v>0.0</v>
      </c>
      <c r="AO109" s="9">
        <v>0.0</v>
      </c>
      <c r="AP109" s="9">
        <v>0.0</v>
      </c>
      <c r="AQ109" s="9">
        <v>0.0</v>
      </c>
      <c r="AR109" s="9">
        <v>0.0</v>
      </c>
      <c r="AS109" s="9">
        <v>0.0</v>
      </c>
      <c r="AT109" s="9">
        <v>0.0</v>
      </c>
      <c r="AU109" s="9">
        <v>0.0</v>
      </c>
      <c r="AV109" s="9">
        <v>0.0</v>
      </c>
      <c r="AW109" s="9">
        <v>0.0</v>
      </c>
    </row>
    <row r="110" ht="15.0" customHeight="1">
      <c r="A110" s="5" t="s">
        <v>284</v>
      </c>
      <c r="B110" s="5" t="s">
        <v>285</v>
      </c>
      <c r="C110" s="5" t="s">
        <v>79</v>
      </c>
      <c r="D110" s="5" t="s">
        <v>83</v>
      </c>
      <c r="E110" s="5">
        <v>5.5</v>
      </c>
      <c r="F110" s="6"/>
      <c r="G110" s="5"/>
      <c r="H110" s="5">
        <v>1678.0</v>
      </c>
      <c r="I110" s="5" t="b">
        <v>1</v>
      </c>
      <c r="J110" s="5" t="b">
        <v>0</v>
      </c>
      <c r="K110" s="7">
        <v>80.76</v>
      </c>
      <c r="L110" s="8">
        <v>0.09233978145204676</v>
      </c>
      <c r="M110" s="9">
        <f t="shared" si="1"/>
        <v>3.776878542</v>
      </c>
      <c r="N110" s="7">
        <f t="shared" si="2"/>
        <v>128.4138704</v>
      </c>
      <c r="O110" s="9">
        <f t="shared" si="3"/>
        <v>23.34797644</v>
      </c>
      <c r="P110" s="9">
        <v>3.248039201148967</v>
      </c>
      <c r="Q110" s="9">
        <v>4.368502851052731</v>
      </c>
      <c r="R110" s="9">
        <v>0.0</v>
      </c>
      <c r="S110" s="9">
        <v>4.024356704171616</v>
      </c>
      <c r="T110" s="9">
        <v>7.246574793258155</v>
      </c>
      <c r="U110" s="9">
        <v>4.554966494388424</v>
      </c>
      <c r="V110" s="9">
        <v>3.315048904779914</v>
      </c>
      <c r="W110" s="9">
        <v>3.798576240107448</v>
      </c>
      <c r="X110" s="9">
        <v>3.907084477876775</v>
      </c>
      <c r="Y110" s="9">
        <v>3.187834870428352</v>
      </c>
      <c r="Z110" s="9">
        <v>3.712570968281458</v>
      </c>
      <c r="AA110" s="9">
        <v>3.802659648165502</v>
      </c>
      <c r="AB110" s="9">
        <v>4.601504116749516</v>
      </c>
      <c r="AC110" s="9">
        <v>3.176228012649874</v>
      </c>
      <c r="AD110" s="9">
        <v>3.78138105376999</v>
      </c>
      <c r="AE110" s="9">
        <v>4.213968966887411</v>
      </c>
      <c r="AF110" s="9">
        <v>3.005893846142937</v>
      </c>
      <c r="AG110" s="9">
        <v>4.369657313675286</v>
      </c>
      <c r="AH110" s="9">
        <v>3.368112502495461</v>
      </c>
      <c r="AI110" s="9">
        <v>3.785284452479355</v>
      </c>
      <c r="AJ110" s="9">
        <v>4.586557224431685</v>
      </c>
      <c r="AK110" s="9">
        <v>2.846206014837528</v>
      </c>
      <c r="AL110" s="9">
        <v>4.279671410073298</v>
      </c>
      <c r="AM110" s="9">
        <v>3.998144933370944</v>
      </c>
      <c r="AN110" s="9">
        <v>3.70935150402202</v>
      </c>
      <c r="AO110" s="9">
        <v>4.036278227965087</v>
      </c>
      <c r="AP110" s="9">
        <v>4.364803534927945</v>
      </c>
      <c r="AQ110" s="9">
        <v>3.270032506549395</v>
      </c>
      <c r="AR110" s="9">
        <v>3.489743196990132</v>
      </c>
      <c r="AS110" s="9">
        <v>3.704872248904271</v>
      </c>
      <c r="AT110" s="9">
        <v>3.654130866979553</v>
      </c>
      <c r="AU110" s="9">
        <v>3.713494810377201</v>
      </c>
      <c r="AV110" s="9">
        <v>3.501058493460346</v>
      </c>
      <c r="AW110" s="9">
        <v>3.791280030678272</v>
      </c>
    </row>
    <row r="111" ht="15.0" customHeight="1">
      <c r="A111" s="5" t="s">
        <v>286</v>
      </c>
      <c r="B111" s="5" t="s">
        <v>287</v>
      </c>
      <c r="C111" s="5" t="s">
        <v>124</v>
      </c>
      <c r="D111" s="5" t="s">
        <v>83</v>
      </c>
      <c r="E111" s="5">
        <v>5.0</v>
      </c>
      <c r="F111" s="6">
        <v>0.6785714286</v>
      </c>
      <c r="G111" s="5">
        <v>85.0</v>
      </c>
      <c r="H111" s="5">
        <v>2020.0</v>
      </c>
      <c r="I111" s="5" t="b">
        <v>1</v>
      </c>
      <c r="J111" s="5" t="b">
        <v>0</v>
      </c>
      <c r="K111" s="7">
        <v>62.89857143053599</v>
      </c>
      <c r="L111" s="8">
        <v>0.09579437039336135</v>
      </c>
      <c r="M111" s="9">
        <f t="shared" si="1"/>
        <v>3.266323018</v>
      </c>
      <c r="N111" s="7">
        <f t="shared" si="2"/>
        <v>111.0549826</v>
      </c>
      <c r="O111" s="9">
        <f t="shared" si="3"/>
        <v>22.21099652</v>
      </c>
      <c r="P111" s="9">
        <v>2.721123500592599</v>
      </c>
      <c r="Q111" s="9">
        <v>3.202214266808279</v>
      </c>
      <c r="R111" s="9">
        <v>3.148016044599977</v>
      </c>
      <c r="S111" s="9">
        <v>2.839240954412874</v>
      </c>
      <c r="T111" s="9">
        <v>3.860194023384078</v>
      </c>
      <c r="U111" s="9">
        <v>3.205709220427601</v>
      </c>
      <c r="V111" s="9">
        <v>2.558598239195226</v>
      </c>
      <c r="W111" s="9">
        <v>4.104087786761104</v>
      </c>
      <c r="X111" s="9">
        <v>2.632014399847172</v>
      </c>
      <c r="Y111" s="9">
        <v>3.862963380816914</v>
      </c>
      <c r="Z111" s="9">
        <v>3.003252882773075</v>
      </c>
      <c r="AA111" s="9">
        <v>3.20365472148852</v>
      </c>
      <c r="AB111" s="9">
        <v>4.088254816519326</v>
      </c>
      <c r="AC111" s="9">
        <v>3.481806185430296</v>
      </c>
      <c r="AD111" s="9">
        <v>2.79212163237443</v>
      </c>
      <c r="AE111" s="9">
        <v>3.86324729835538</v>
      </c>
      <c r="AF111" s="9">
        <v>3.280604213386923</v>
      </c>
      <c r="AG111" s="9">
        <v>3.283979589135668</v>
      </c>
      <c r="AH111" s="9">
        <v>3.094474142201489</v>
      </c>
      <c r="AI111" s="9">
        <v>2.717414615893173</v>
      </c>
      <c r="AJ111" s="9">
        <v>3.77075625287307</v>
      </c>
      <c r="AK111" s="9">
        <v>3.509010749941455</v>
      </c>
      <c r="AL111" s="9">
        <v>4.054826871291297</v>
      </c>
      <c r="AM111" s="9">
        <v>3.289112358887165</v>
      </c>
      <c r="AN111" s="9">
        <v>2.432655052289575</v>
      </c>
      <c r="AO111" s="9">
        <v>3.210143473564518</v>
      </c>
      <c r="AP111" s="9">
        <v>3.702842167931147</v>
      </c>
      <c r="AQ111" s="9">
        <v>3.521490902034715</v>
      </c>
      <c r="AR111" s="9">
        <v>3.293502675134548</v>
      </c>
      <c r="AS111" s="9">
        <v>3.276522272821274</v>
      </c>
      <c r="AT111" s="9">
        <v>2.777840021921997</v>
      </c>
      <c r="AU111" s="9">
        <v>3.004100494420103</v>
      </c>
      <c r="AV111" s="9">
        <v>3.55444941635616</v>
      </c>
      <c r="AW111" s="9">
        <v>2.714757985502125</v>
      </c>
    </row>
    <row r="112" ht="15.0" customHeight="1">
      <c r="A112" s="5" t="s">
        <v>288</v>
      </c>
      <c r="B112" s="5" t="s">
        <v>289</v>
      </c>
      <c r="C112" s="5" t="s">
        <v>124</v>
      </c>
      <c r="D112" s="5" t="s">
        <v>52</v>
      </c>
      <c r="E112" s="5">
        <v>7.5</v>
      </c>
      <c r="F112" s="6">
        <v>0.7777777778</v>
      </c>
      <c r="G112" s="5">
        <v>76.0</v>
      </c>
      <c r="H112" s="5">
        <v>574.0</v>
      </c>
      <c r="I112" s="5" t="b">
        <v>1</v>
      </c>
      <c r="J112" s="5" t="b">
        <v>0</v>
      </c>
      <c r="K112" s="7">
        <v>64.21111111229</v>
      </c>
      <c r="L112" s="8">
        <v>0.09498244087388627</v>
      </c>
      <c r="M112" s="9">
        <f t="shared" si="1"/>
        <v>3.285970609</v>
      </c>
      <c r="N112" s="7">
        <f t="shared" si="2"/>
        <v>111.7230007</v>
      </c>
      <c r="O112" s="9">
        <f t="shared" si="3"/>
        <v>14.89640009</v>
      </c>
      <c r="P112" s="9">
        <v>0.0</v>
      </c>
      <c r="Q112" s="9">
        <v>0.0</v>
      </c>
      <c r="R112" s="9">
        <v>0.0</v>
      </c>
      <c r="S112" s="9">
        <v>0.0</v>
      </c>
      <c r="T112" s="9">
        <v>0.0</v>
      </c>
      <c r="U112" s="9">
        <v>3.729781293647316</v>
      </c>
      <c r="V112" s="9">
        <v>3.028839661894039</v>
      </c>
      <c r="W112" s="9">
        <v>4.628918645509357</v>
      </c>
      <c r="X112" s="9">
        <v>3.000054924832995</v>
      </c>
      <c r="Y112" s="9">
        <v>4.638706867287939</v>
      </c>
      <c r="Z112" s="9">
        <v>3.801370476179744</v>
      </c>
      <c r="AA112" s="9">
        <v>3.94289955112344</v>
      </c>
      <c r="AB112" s="9">
        <v>4.562710995988504</v>
      </c>
      <c r="AC112" s="9">
        <v>3.769529681009262</v>
      </c>
      <c r="AD112" s="9">
        <v>3.29393794485859</v>
      </c>
      <c r="AE112" s="9">
        <v>4.524740221265986</v>
      </c>
      <c r="AF112" s="9">
        <v>4.009363958052977</v>
      </c>
      <c r="AG112" s="9">
        <v>3.905892574019435</v>
      </c>
      <c r="AH112" s="9">
        <v>3.457835941711779</v>
      </c>
      <c r="AI112" s="9">
        <v>3.190364636358062</v>
      </c>
      <c r="AJ112" s="9">
        <v>4.407292853946321</v>
      </c>
      <c r="AK112" s="9">
        <v>3.862727187783017</v>
      </c>
      <c r="AL112" s="9">
        <v>4.439359730397768</v>
      </c>
      <c r="AM112" s="9">
        <v>3.821496849410002</v>
      </c>
      <c r="AN112" s="9">
        <v>3.03756434627371</v>
      </c>
      <c r="AO112" s="9">
        <v>3.879808555190156</v>
      </c>
      <c r="AP112" s="9">
        <v>4.245563104364925</v>
      </c>
      <c r="AQ112" s="9">
        <v>3.912615936400898</v>
      </c>
      <c r="AR112" s="9">
        <v>3.845478891854834</v>
      </c>
      <c r="AS112" s="9">
        <v>3.99171530091296</v>
      </c>
      <c r="AT112" s="9">
        <v>3.415920149944115</v>
      </c>
      <c r="AU112" s="9">
        <v>3.497982991851873</v>
      </c>
      <c r="AV112" s="9">
        <v>4.515859130185072</v>
      </c>
      <c r="AW112" s="9">
        <v>3.364668309355458</v>
      </c>
    </row>
    <row r="113" ht="15.0" customHeight="1">
      <c r="A113" s="5" t="s">
        <v>290</v>
      </c>
      <c r="B113" s="5" t="s">
        <v>291</v>
      </c>
      <c r="C113" s="5" t="s">
        <v>124</v>
      </c>
      <c r="D113" s="5" t="s">
        <v>52</v>
      </c>
      <c r="E113" s="5">
        <v>7.0</v>
      </c>
      <c r="F113" s="6">
        <v>0.8076923077</v>
      </c>
      <c r="G113" s="5">
        <v>83.0</v>
      </c>
      <c r="H113" s="5">
        <v>2210.0</v>
      </c>
      <c r="I113" s="5" t="b">
        <v>1</v>
      </c>
      <c r="J113" s="5" t="b">
        <v>0</v>
      </c>
      <c r="K113" s="7">
        <v>71.451923077385</v>
      </c>
      <c r="L113" s="8">
        <v>0.06959414147467946</v>
      </c>
      <c r="M113" s="9">
        <f t="shared" si="1"/>
        <v>3.438709433</v>
      </c>
      <c r="N113" s="7">
        <f t="shared" si="2"/>
        <v>116.9161207</v>
      </c>
      <c r="O113" s="9">
        <f t="shared" si="3"/>
        <v>16.70230296</v>
      </c>
      <c r="P113" s="9">
        <v>3.044640301392883</v>
      </c>
      <c r="Q113" s="9">
        <v>3.344923053675802</v>
      </c>
      <c r="R113" s="9">
        <v>3.271474927152636</v>
      </c>
      <c r="S113" s="9">
        <v>3.183222008163237</v>
      </c>
      <c r="T113" s="9">
        <v>4.098000980036843</v>
      </c>
      <c r="U113" s="9">
        <v>3.358727266646477</v>
      </c>
      <c r="V113" s="9">
        <v>2.83799662672723</v>
      </c>
      <c r="W113" s="9">
        <v>4.031884755014345</v>
      </c>
      <c r="X113" s="9">
        <v>2.824206804642622</v>
      </c>
      <c r="Y113" s="9">
        <v>4.020156365660041</v>
      </c>
      <c r="Z113" s="9">
        <v>3.391514410401189</v>
      </c>
      <c r="AA113" s="9">
        <v>3.501953575359738</v>
      </c>
      <c r="AB113" s="9">
        <v>3.986138834339759</v>
      </c>
      <c r="AC113" s="9">
        <v>3.40643926210883</v>
      </c>
      <c r="AD113" s="9">
        <v>3.034086688893502</v>
      </c>
      <c r="AE113" s="9">
        <v>3.943503102138919</v>
      </c>
      <c r="AF113" s="9">
        <v>3.55251412416641</v>
      </c>
      <c r="AG113" s="9">
        <v>3.483156695608773</v>
      </c>
      <c r="AH113" s="9">
        <v>3.167318582708683</v>
      </c>
      <c r="AI113" s="9">
        <v>2.958730219360843</v>
      </c>
      <c r="AJ113" s="9">
        <v>3.857461678919511</v>
      </c>
      <c r="AK113" s="9">
        <v>3.471207189844329</v>
      </c>
      <c r="AL113" s="9">
        <v>3.900611294293327</v>
      </c>
      <c r="AM113" s="9">
        <v>3.426766523892899</v>
      </c>
      <c r="AN113" s="9">
        <v>2.834300883631509</v>
      </c>
      <c r="AO113" s="9">
        <v>3.459999852707135</v>
      </c>
      <c r="AP113" s="9">
        <v>3.74349447444709</v>
      </c>
      <c r="AQ113" s="9">
        <v>3.505719379360887</v>
      </c>
      <c r="AR113" s="9">
        <v>3.443234686218517</v>
      </c>
      <c r="AS113" s="9">
        <v>3.540330377677472</v>
      </c>
      <c r="AT113" s="9">
        <v>3.115069540133448</v>
      </c>
      <c r="AU113" s="9">
        <v>3.187464831329799</v>
      </c>
      <c r="AV113" s="9">
        <v>3.914074419535181</v>
      </c>
      <c r="AW113" s="9">
        <v>3.075797000895318</v>
      </c>
    </row>
    <row r="114" ht="15.0" customHeight="1">
      <c r="A114" s="5" t="s">
        <v>292</v>
      </c>
      <c r="B114" s="5" t="s">
        <v>293</v>
      </c>
      <c r="C114" s="5" t="s">
        <v>124</v>
      </c>
      <c r="D114" s="5" t="s">
        <v>52</v>
      </c>
      <c r="E114" s="5">
        <v>7.5</v>
      </c>
      <c r="F114" s="6">
        <v>1.0</v>
      </c>
      <c r="G114" s="5">
        <v>74.0</v>
      </c>
      <c r="H114" s="5">
        <v>1022.0</v>
      </c>
      <c r="I114" s="5" t="b">
        <v>1</v>
      </c>
      <c r="J114" s="5" t="b">
        <v>0</v>
      </c>
      <c r="K114" s="7">
        <v>74.0</v>
      </c>
      <c r="L114" s="8">
        <v>0.09402967823283884</v>
      </c>
      <c r="M114" s="9">
        <f t="shared" si="1"/>
        <v>4.671819998</v>
      </c>
      <c r="N114" s="7">
        <f t="shared" si="2"/>
        <v>158.8418799</v>
      </c>
      <c r="O114" s="9">
        <f t="shared" si="3"/>
        <v>21.17891732</v>
      </c>
      <c r="P114" s="9">
        <v>4.047527823754012</v>
      </c>
      <c r="Q114" s="9">
        <v>4.509665649118269</v>
      </c>
      <c r="R114" s="9">
        <v>4.383501200952261</v>
      </c>
      <c r="S114" s="9">
        <v>4.282295295464379</v>
      </c>
      <c r="T114" s="9">
        <v>5.782103007339788</v>
      </c>
      <c r="U114" s="9">
        <v>4.534761456926628</v>
      </c>
      <c r="V114" s="9">
        <v>3.694645122814528</v>
      </c>
      <c r="W114" s="9">
        <v>5.608003879134982</v>
      </c>
      <c r="X114" s="9">
        <v>3.653670388792605</v>
      </c>
      <c r="Y114" s="9">
        <v>5.63593426802877</v>
      </c>
      <c r="Z114" s="9">
        <v>4.637954225241018</v>
      </c>
      <c r="AA114" s="9">
        <v>4.803068454732852</v>
      </c>
      <c r="AB114" s="9">
        <v>5.525717771334245</v>
      </c>
      <c r="AC114" s="9">
        <v>4.566900091483016</v>
      </c>
      <c r="AD114" s="9">
        <v>4.013105974837734</v>
      </c>
      <c r="AE114" s="9">
        <v>5.492507770802226</v>
      </c>
      <c r="AF114" s="9">
        <v>4.881720169134959</v>
      </c>
      <c r="AG114" s="9">
        <v>4.751300036277974</v>
      </c>
      <c r="AH114" s="9">
        <v>4.199766165797449</v>
      </c>
      <c r="AI114" s="9">
        <v>3.887613658478913</v>
      </c>
      <c r="AJ114" s="9">
        <v>5.350708823415442</v>
      </c>
      <c r="AK114" s="9">
        <v>4.682412110822801</v>
      </c>
      <c r="AL114" s="9">
        <v>5.372665232916914</v>
      </c>
      <c r="AM114" s="9">
        <v>4.64476965885606</v>
      </c>
      <c r="AN114" s="9">
        <v>3.713778893381044</v>
      </c>
      <c r="AO114" s="9">
        <v>4.723258739136704</v>
      </c>
      <c r="AP114" s="9">
        <v>5.15159641337365</v>
      </c>
      <c r="AQ114" s="9">
        <v>4.744380694886756</v>
      </c>
      <c r="AR114" s="9">
        <v>4.674662793476498</v>
      </c>
      <c r="AS114" s="9">
        <v>4.85977658071609</v>
      </c>
      <c r="AT114" s="9">
        <v>4.16752511610227</v>
      </c>
      <c r="AU114" s="9">
        <v>4.256136534079802</v>
      </c>
      <c r="AV114" s="9">
        <v>5.501327990057074</v>
      </c>
      <c r="AW114" s="9">
        <v>4.107117932340788</v>
      </c>
    </row>
    <row r="115" ht="15.0" customHeight="1">
      <c r="A115" s="5" t="s">
        <v>294</v>
      </c>
      <c r="B115" s="5" t="s">
        <v>295</v>
      </c>
      <c r="C115" s="5" t="s">
        <v>55</v>
      </c>
      <c r="D115" s="5" t="s">
        <v>83</v>
      </c>
      <c r="E115" s="5">
        <v>5.5</v>
      </c>
      <c r="F115" s="6">
        <v>1.0</v>
      </c>
      <c r="G115" s="5">
        <v>85.0</v>
      </c>
      <c r="H115" s="5">
        <v>2390.0</v>
      </c>
      <c r="I115" s="5" t="b">
        <v>1</v>
      </c>
      <c r="J115" s="5" t="b">
        <v>0</v>
      </c>
      <c r="K115" s="7">
        <v>85.0</v>
      </c>
      <c r="L115" s="8">
        <v>0.07346043236767437</v>
      </c>
      <c r="M115" s="9">
        <f t="shared" si="1"/>
        <v>3.662806027</v>
      </c>
      <c r="N115" s="7">
        <f t="shared" si="2"/>
        <v>124.5354049</v>
      </c>
      <c r="O115" s="9">
        <f t="shared" si="3"/>
        <v>22.64280089</v>
      </c>
      <c r="P115" s="9">
        <v>3.529937580737407</v>
      </c>
      <c r="Q115" s="9">
        <v>4.249768369117335</v>
      </c>
      <c r="R115" s="9">
        <v>3.896503079502519</v>
      </c>
      <c r="S115" s="9">
        <v>4.430955697680083</v>
      </c>
      <c r="T115" s="9">
        <v>3.064576888060239</v>
      </c>
      <c r="U115" s="9">
        <v>3.670097528605993</v>
      </c>
      <c r="V115" s="9">
        <v>3.782180773894456</v>
      </c>
      <c r="W115" s="9">
        <v>3.585933140350973</v>
      </c>
      <c r="X115" s="9">
        <v>3.375993336452499</v>
      </c>
      <c r="Y115" s="9">
        <v>2.743610834779941</v>
      </c>
      <c r="Z115" s="9">
        <v>4.249734455982431</v>
      </c>
      <c r="AA115" s="9">
        <v>3.134394552579484</v>
      </c>
      <c r="AB115" s="9">
        <v>4.158724670984309</v>
      </c>
      <c r="AC115" s="9">
        <v>3.679756572165583</v>
      </c>
      <c r="AD115" s="9">
        <v>3.909268773667836</v>
      </c>
      <c r="AE115" s="9">
        <v>3.072695558576167</v>
      </c>
      <c r="AF115" s="9">
        <v>3.474550319013446</v>
      </c>
      <c r="AG115" s="9">
        <v>3.20092485314813</v>
      </c>
      <c r="AH115" s="9">
        <v>3.589532099337092</v>
      </c>
      <c r="AI115" s="9">
        <v>4.250974697507265</v>
      </c>
      <c r="AJ115" s="9">
        <v>3.070922605619716</v>
      </c>
      <c r="AK115" s="9">
        <v>3.587131863636517</v>
      </c>
      <c r="AL115" s="9">
        <v>3.94629508588919</v>
      </c>
      <c r="AM115" s="9">
        <v>3.152181434253956</v>
      </c>
      <c r="AN115" s="9">
        <v>3.666694428980565</v>
      </c>
      <c r="AO115" s="9">
        <v>3.662489906548942</v>
      </c>
      <c r="AP115" s="9">
        <v>4.464672110324256</v>
      </c>
      <c r="AQ115" s="9">
        <v>3.675229423856748</v>
      </c>
      <c r="AR115" s="9">
        <v>3.868797708944506</v>
      </c>
      <c r="AS115" s="9">
        <v>4.090726979764156</v>
      </c>
      <c r="AT115" s="9">
        <v>4.480780764846767</v>
      </c>
      <c r="AU115" s="9">
        <v>3.246866936734529</v>
      </c>
      <c r="AV115" s="9">
        <v>2.978519237572565</v>
      </c>
      <c r="AW115" s="9">
        <v>3.593982633324352</v>
      </c>
    </row>
    <row r="116" ht="15.0" customHeight="1">
      <c r="A116" s="5" t="s">
        <v>296</v>
      </c>
      <c r="B116" s="5" t="s">
        <v>297</v>
      </c>
      <c r="C116" s="5" t="s">
        <v>92</v>
      </c>
      <c r="D116" s="5" t="s">
        <v>83</v>
      </c>
      <c r="E116" s="5">
        <v>4.5</v>
      </c>
      <c r="F116" s="6">
        <v>0.9615384615</v>
      </c>
      <c r="G116" s="5">
        <v>84.0</v>
      </c>
      <c r="H116" s="5">
        <v>2298.0</v>
      </c>
      <c r="I116" s="5" t="b">
        <v>1</v>
      </c>
      <c r="J116" s="5" t="b">
        <v>0</v>
      </c>
      <c r="K116" s="7">
        <v>81.39384615124</v>
      </c>
      <c r="L116" s="8">
        <v>0.0549859954556161</v>
      </c>
      <c r="M116" s="9">
        <f t="shared" si="1"/>
        <v>2.870472673</v>
      </c>
      <c r="N116" s="7">
        <f t="shared" si="2"/>
        <v>97.59607089</v>
      </c>
      <c r="O116" s="9">
        <f t="shared" si="3"/>
        <v>21.68801575</v>
      </c>
      <c r="P116" s="9">
        <v>2.271041831855904</v>
      </c>
      <c r="Q116" s="9">
        <v>3.590569081626823</v>
      </c>
      <c r="R116" s="9">
        <v>2.824678474692762</v>
      </c>
      <c r="S116" s="9">
        <v>2.462012146441371</v>
      </c>
      <c r="T116" s="9">
        <v>3.061553731316227</v>
      </c>
      <c r="U116" s="9">
        <v>2.897091775323478</v>
      </c>
      <c r="V116" s="9">
        <v>3.091636367556975</v>
      </c>
      <c r="W116" s="9">
        <v>2.742263395185669</v>
      </c>
      <c r="X116" s="9">
        <v>2.457779134022177</v>
      </c>
      <c r="Y116" s="9">
        <v>3.297448640055543</v>
      </c>
      <c r="Z116" s="9">
        <v>2.34989578535825</v>
      </c>
      <c r="AA116" s="9">
        <v>3.10026499108511</v>
      </c>
      <c r="AB116" s="9">
        <v>2.879456401093804</v>
      </c>
      <c r="AC116" s="9">
        <v>2.882418117502981</v>
      </c>
      <c r="AD116" s="9">
        <v>3.372598220468923</v>
      </c>
      <c r="AE116" s="9">
        <v>2.5764426679716</v>
      </c>
      <c r="AF116" s="9">
        <v>3.242006741863987</v>
      </c>
      <c r="AG116" s="9">
        <v>2.398996398932961</v>
      </c>
      <c r="AH116" s="9">
        <v>2.546051124120789</v>
      </c>
      <c r="AI116" s="9">
        <v>2.827102152176266</v>
      </c>
      <c r="AJ116" s="9">
        <v>2.887653087784627</v>
      </c>
      <c r="AK116" s="9">
        <v>3.564618484559721</v>
      </c>
      <c r="AL116" s="9">
        <v>2.459102581407163</v>
      </c>
      <c r="AM116" s="9">
        <v>2.981837773636442</v>
      </c>
      <c r="AN116" s="9">
        <v>2.821005059933796</v>
      </c>
      <c r="AO116" s="9">
        <v>2.502093811565521</v>
      </c>
      <c r="AP116" s="9">
        <v>2.665987444806132</v>
      </c>
      <c r="AQ116" s="9">
        <v>2.670077387811586</v>
      </c>
      <c r="AR116" s="9">
        <v>3.082347249325442</v>
      </c>
      <c r="AS116" s="9">
        <v>2.827529565504627</v>
      </c>
      <c r="AT116" s="9">
        <v>2.512435979165287</v>
      </c>
      <c r="AU116" s="9">
        <v>3.364993901848161</v>
      </c>
      <c r="AV116" s="9">
        <v>3.602448013708095</v>
      </c>
      <c r="AW116" s="9">
        <v>2.782633369136197</v>
      </c>
    </row>
    <row r="117" ht="15.0" customHeight="1">
      <c r="A117" s="5" t="s">
        <v>298</v>
      </c>
      <c r="B117" s="5" t="s">
        <v>299</v>
      </c>
      <c r="C117" s="5" t="s">
        <v>64</v>
      </c>
      <c r="D117" s="5" t="s">
        <v>52</v>
      </c>
      <c r="E117" s="5">
        <v>7.5</v>
      </c>
      <c r="F117" s="6">
        <v>0.9696969697</v>
      </c>
      <c r="G117" s="5">
        <v>82.0</v>
      </c>
      <c r="H117" s="5">
        <v>2861.0</v>
      </c>
      <c r="I117" s="5" t="b">
        <v>1</v>
      </c>
      <c r="J117" s="5" t="b">
        <v>0</v>
      </c>
      <c r="K117" s="7">
        <v>80.210606060785</v>
      </c>
      <c r="L117" s="8">
        <v>0.0793532925380667</v>
      </c>
      <c r="M117" s="9">
        <f t="shared" si="1"/>
        <v>3.611923824</v>
      </c>
      <c r="N117" s="7">
        <f t="shared" si="2"/>
        <v>122.80541</v>
      </c>
      <c r="O117" s="9">
        <f t="shared" si="3"/>
        <v>16.37405467</v>
      </c>
      <c r="P117" s="9">
        <v>4.130378941110957</v>
      </c>
      <c r="Q117" s="9">
        <v>3.679613413126725</v>
      </c>
      <c r="R117" s="9">
        <v>4.062040274268684</v>
      </c>
      <c r="S117" s="9">
        <v>3.661437542564309</v>
      </c>
      <c r="T117" s="9">
        <v>3.342956034578819</v>
      </c>
      <c r="U117" s="9">
        <v>3.641782238481481</v>
      </c>
      <c r="V117" s="9">
        <v>4.325682027248558</v>
      </c>
      <c r="W117" s="9">
        <v>3.180499930058211</v>
      </c>
      <c r="X117" s="9">
        <v>4.154860557871838</v>
      </c>
      <c r="Y117" s="9">
        <v>3.638085715836645</v>
      </c>
      <c r="Z117" s="9">
        <v>3.270872264925182</v>
      </c>
      <c r="AA117" s="9">
        <v>3.203916758714441</v>
      </c>
      <c r="AB117" s="9">
        <v>3.344131131291715</v>
      </c>
      <c r="AC117" s="9">
        <v>3.317661970766831</v>
      </c>
      <c r="AD117" s="9">
        <v>3.431296320992028</v>
      </c>
      <c r="AE117" s="9">
        <v>3.099767949468665</v>
      </c>
      <c r="AF117" s="9">
        <v>4.103070055403478</v>
      </c>
      <c r="AG117" s="9">
        <v>4.19679586873061</v>
      </c>
      <c r="AH117" s="9">
        <v>3.569106007831706</v>
      </c>
      <c r="AI117" s="9">
        <v>4.246971584399343</v>
      </c>
      <c r="AJ117" s="9">
        <v>3.194945648519934</v>
      </c>
      <c r="AK117" s="9">
        <v>2.972219040151542</v>
      </c>
      <c r="AL117" s="9">
        <v>3.93777352213944</v>
      </c>
      <c r="AM117" s="9">
        <v>3.510920353336988</v>
      </c>
      <c r="AN117" s="9">
        <v>3.59886556591125</v>
      </c>
      <c r="AO117" s="9">
        <v>3.52609491408927</v>
      </c>
      <c r="AP117" s="9">
        <v>3.616961127328838</v>
      </c>
      <c r="AQ117" s="9">
        <v>3.724956425260239</v>
      </c>
      <c r="AR117" s="9">
        <v>3.738318797539299</v>
      </c>
      <c r="AS117" s="9">
        <v>2.953871725700467</v>
      </c>
      <c r="AT117" s="9">
        <v>4.239578933150677</v>
      </c>
      <c r="AU117" s="9">
        <v>3.570888009663969</v>
      </c>
      <c r="AV117" s="9">
        <v>2.973758164668528</v>
      </c>
      <c r="AW117" s="9">
        <v>3.645331194436038</v>
      </c>
    </row>
    <row r="118" ht="15.0" customHeight="1">
      <c r="A118" s="5" t="s">
        <v>300</v>
      </c>
      <c r="B118" s="5" t="s">
        <v>301</v>
      </c>
      <c r="C118" s="5" t="s">
        <v>100</v>
      </c>
      <c r="D118" s="5" t="s">
        <v>52</v>
      </c>
      <c r="E118" s="5">
        <v>6.0</v>
      </c>
      <c r="F118" s="6">
        <v>0.5</v>
      </c>
      <c r="G118" s="5">
        <v>76.0</v>
      </c>
      <c r="H118" s="5">
        <v>679.0</v>
      </c>
      <c r="I118" s="5" t="b">
        <v>0</v>
      </c>
      <c r="J118" s="5" t="b">
        <v>0</v>
      </c>
      <c r="K118" s="7">
        <v>49.475</v>
      </c>
      <c r="L118" s="8">
        <v>0.1018411278137083</v>
      </c>
      <c r="M118" s="9">
        <f t="shared" si="1"/>
        <v>2.02988746</v>
      </c>
      <c r="N118" s="7">
        <f t="shared" si="2"/>
        <v>69.01617365</v>
      </c>
      <c r="O118" s="9">
        <f t="shared" si="3"/>
        <v>11.50269561</v>
      </c>
      <c r="P118" s="9">
        <v>2.044904139022803</v>
      </c>
      <c r="Q118" s="9">
        <v>1.705759666643213</v>
      </c>
      <c r="R118" s="9">
        <v>1.894951672732403</v>
      </c>
      <c r="S118" s="9">
        <v>2.104671003227581</v>
      </c>
      <c r="T118" s="9">
        <v>1.943920600474924</v>
      </c>
      <c r="U118" s="9">
        <v>1.907686091871504</v>
      </c>
      <c r="V118" s="9">
        <v>1.853012253906135</v>
      </c>
      <c r="W118" s="9">
        <v>2.303530860116485</v>
      </c>
      <c r="X118" s="9">
        <v>2.427679174117808</v>
      </c>
      <c r="Y118" s="9">
        <v>1.834401394091614</v>
      </c>
      <c r="Z118" s="9">
        <v>2.246190018659999</v>
      </c>
      <c r="AA118" s="9">
        <v>2.049981136061147</v>
      </c>
      <c r="AB118" s="9">
        <v>2.059064908978213</v>
      </c>
      <c r="AC118" s="9">
        <v>1.988552817170312</v>
      </c>
      <c r="AD118" s="9">
        <v>2.033493220413022</v>
      </c>
      <c r="AE118" s="9">
        <v>2.265585183388507</v>
      </c>
      <c r="AF118" s="9">
        <v>1.749294813765587</v>
      </c>
      <c r="AG118" s="9">
        <v>2.047633607263637</v>
      </c>
      <c r="AH118" s="9">
        <v>1.98357950352951</v>
      </c>
      <c r="AI118" s="9">
        <v>1.729256938569328</v>
      </c>
      <c r="AJ118" s="9">
        <v>2.312625292180944</v>
      </c>
      <c r="AK118" s="9">
        <v>2.119934753426883</v>
      </c>
      <c r="AL118" s="9">
        <v>2.072404705058723</v>
      </c>
      <c r="AM118" s="9">
        <v>2.026660450963544</v>
      </c>
      <c r="AN118" s="9">
        <v>2.334570746341968</v>
      </c>
      <c r="AO118" s="9">
        <v>1.832350707795085</v>
      </c>
      <c r="AP118" s="9">
        <v>2.128226169277368</v>
      </c>
      <c r="AQ118" s="9">
        <v>1.998151352336043</v>
      </c>
      <c r="AR118" s="9">
        <v>1.934356550466059</v>
      </c>
      <c r="AS118" s="9">
        <v>2.346661269268879</v>
      </c>
      <c r="AT118" s="9">
        <v>1.877254358835102</v>
      </c>
      <c r="AU118" s="9">
        <v>2.193403926249349</v>
      </c>
      <c r="AV118" s="9">
        <v>1.790013199783318</v>
      </c>
      <c r="AW118" s="9">
        <v>1.876411168165649</v>
      </c>
    </row>
    <row r="119" ht="15.0" customHeight="1">
      <c r="A119" s="5" t="s">
        <v>302</v>
      </c>
      <c r="B119" s="5" t="s">
        <v>303</v>
      </c>
      <c r="C119" s="5" t="s">
        <v>76</v>
      </c>
      <c r="D119" s="5" t="s">
        <v>52</v>
      </c>
      <c r="E119" s="5">
        <v>7.0</v>
      </c>
      <c r="F119" s="6">
        <v>0.8</v>
      </c>
      <c r="G119" s="5">
        <v>77.0</v>
      </c>
      <c r="H119" s="5">
        <v>2207.0</v>
      </c>
      <c r="I119" s="5" t="b">
        <v>1</v>
      </c>
      <c r="J119" s="5" t="b">
        <v>0</v>
      </c>
      <c r="K119" s="7">
        <v>66.19</v>
      </c>
      <c r="L119" s="8">
        <v>0.07838053846369908</v>
      </c>
      <c r="M119" s="9">
        <f t="shared" si="1"/>
        <v>3.265409991</v>
      </c>
      <c r="N119" s="7">
        <f t="shared" si="2"/>
        <v>111.0239397</v>
      </c>
      <c r="O119" s="9">
        <f t="shared" si="3"/>
        <v>15.86056281</v>
      </c>
      <c r="P119" s="9">
        <v>0.0</v>
      </c>
      <c r="Q119" s="9">
        <v>2.933959248971835</v>
      </c>
      <c r="R119" s="9">
        <v>3.975992669614593</v>
      </c>
      <c r="S119" s="9">
        <v>3.424915453377132</v>
      </c>
      <c r="T119" s="9">
        <v>3.258633616438386</v>
      </c>
      <c r="U119" s="9">
        <v>3.867883778144857</v>
      </c>
      <c r="V119" s="9">
        <v>3.180333799955285</v>
      </c>
      <c r="W119" s="9">
        <v>2.731795247933704</v>
      </c>
      <c r="X119" s="9">
        <v>3.80130220227471</v>
      </c>
      <c r="Y119" s="9">
        <v>3.317999788373018</v>
      </c>
      <c r="Z119" s="9">
        <v>3.429504005544326</v>
      </c>
      <c r="AA119" s="9">
        <v>3.093481165488073</v>
      </c>
      <c r="AB119" s="9">
        <v>2.948332055040341</v>
      </c>
      <c r="AC119" s="9">
        <v>3.345152892669056</v>
      </c>
      <c r="AD119" s="9">
        <v>3.934883965709974</v>
      </c>
      <c r="AE119" s="9">
        <v>4.06055506683077</v>
      </c>
      <c r="AF119" s="9">
        <v>2.956857325552</v>
      </c>
      <c r="AG119" s="9">
        <v>2.854703767286381</v>
      </c>
      <c r="AH119" s="9">
        <v>3.679024771127512</v>
      </c>
      <c r="AI119" s="9">
        <v>2.71139143882296</v>
      </c>
      <c r="AJ119" s="9">
        <v>3.36294260408082</v>
      </c>
      <c r="AK119" s="9">
        <v>3.315859078820729</v>
      </c>
      <c r="AL119" s="9">
        <v>3.984223467845256</v>
      </c>
      <c r="AM119" s="9">
        <v>3.273551752285791</v>
      </c>
      <c r="AN119" s="9">
        <v>2.7296928536601</v>
      </c>
      <c r="AO119" s="9">
        <v>3.892784889846201</v>
      </c>
      <c r="AP119" s="9">
        <v>3.406646000118136</v>
      </c>
      <c r="AQ119" s="9">
        <v>3.383637634812891</v>
      </c>
      <c r="AR119" s="9">
        <v>2.982616396895058</v>
      </c>
      <c r="AS119" s="9">
        <v>3.842702696570926</v>
      </c>
      <c r="AT119" s="9">
        <v>3.390967034319913</v>
      </c>
      <c r="AU119" s="9">
        <v>3.387717106347276</v>
      </c>
      <c r="AV119" s="9">
        <v>3.469071213480252</v>
      </c>
      <c r="AW119" s="9">
        <v>3.094824704262875</v>
      </c>
    </row>
    <row r="120" ht="15.0" customHeight="1">
      <c r="A120" s="5" t="s">
        <v>304</v>
      </c>
      <c r="B120" s="5" t="s">
        <v>305</v>
      </c>
      <c r="C120" s="5" t="s">
        <v>95</v>
      </c>
      <c r="D120" s="5" t="s">
        <v>83</v>
      </c>
      <c r="E120" s="5">
        <v>5.0</v>
      </c>
      <c r="F120" s="6">
        <v>0.84375</v>
      </c>
      <c r="G120" s="5">
        <v>89.0</v>
      </c>
      <c r="H120" s="5">
        <v>2676.0</v>
      </c>
      <c r="I120" s="5" t="b">
        <v>1</v>
      </c>
      <c r="J120" s="5" t="b">
        <v>0</v>
      </c>
      <c r="K120" s="7">
        <v>77.63125</v>
      </c>
      <c r="L120" s="8">
        <v>0.07678103469817253</v>
      </c>
      <c r="M120" s="9">
        <f t="shared" si="1"/>
        <v>3.232207078</v>
      </c>
      <c r="N120" s="7">
        <f t="shared" si="2"/>
        <v>109.8950407</v>
      </c>
      <c r="O120" s="9">
        <f t="shared" si="3"/>
        <v>21.97900813</v>
      </c>
      <c r="P120" s="9">
        <v>2.977990291381486</v>
      </c>
      <c r="Q120" s="9">
        <v>3.00703400459573</v>
      </c>
      <c r="R120" s="9">
        <v>3.356608235623439</v>
      </c>
      <c r="S120" s="9">
        <v>3.174934734308003</v>
      </c>
      <c r="T120" s="9">
        <v>3.853327376374917</v>
      </c>
      <c r="U120" s="9">
        <v>2.470005377995489</v>
      </c>
      <c r="V120" s="9">
        <v>3.266562049673244</v>
      </c>
      <c r="W120" s="9">
        <v>3.261347630269835</v>
      </c>
      <c r="X120" s="9">
        <v>4.083821285891132</v>
      </c>
      <c r="Y120" s="9">
        <v>3.263234883201068</v>
      </c>
      <c r="Z120" s="9">
        <v>2.724586252464652</v>
      </c>
      <c r="AA120" s="9">
        <v>3.427318530008003</v>
      </c>
      <c r="AB120" s="9">
        <v>3.17001262705526</v>
      </c>
      <c r="AC120" s="9">
        <v>3.460146516587205</v>
      </c>
      <c r="AD120" s="9">
        <v>3.192792937425205</v>
      </c>
      <c r="AE120" s="9">
        <v>2.618926510431119</v>
      </c>
      <c r="AF120" s="9">
        <v>3.257175635133224</v>
      </c>
      <c r="AG120" s="9">
        <v>3.748124607885149</v>
      </c>
      <c r="AH120" s="9">
        <v>2.780880233692326</v>
      </c>
      <c r="AI120" s="9">
        <v>3.192626656410154</v>
      </c>
      <c r="AJ120" s="9">
        <v>3.556964710248246</v>
      </c>
      <c r="AK120" s="9">
        <v>3.475803316828945</v>
      </c>
      <c r="AL120" s="9">
        <v>2.724557155791668</v>
      </c>
      <c r="AM120" s="9">
        <v>2.840923493659198</v>
      </c>
      <c r="AN120" s="9">
        <v>4.063600642560253</v>
      </c>
      <c r="AO120" s="9">
        <v>2.70798752860858</v>
      </c>
      <c r="AP120" s="9">
        <v>2.854579416615952</v>
      </c>
      <c r="AQ120" s="9">
        <v>4.022112972016288</v>
      </c>
      <c r="AR120" s="9">
        <v>3.859847714187759</v>
      </c>
      <c r="AS120" s="9">
        <v>2.564321372392071</v>
      </c>
      <c r="AT120" s="9">
        <v>3.05224734633608</v>
      </c>
      <c r="AU120" s="9">
        <v>3.260185921569134</v>
      </c>
      <c r="AV120" s="9">
        <v>2.779761078908429</v>
      </c>
      <c r="AW120" s="9">
        <v>3.844691614302607</v>
      </c>
    </row>
    <row r="121" ht="15.0" customHeight="1">
      <c r="A121" s="5" t="s">
        <v>306</v>
      </c>
      <c r="B121" s="5" t="s">
        <v>307</v>
      </c>
      <c r="C121" s="5" t="s">
        <v>136</v>
      </c>
      <c r="D121" s="5" t="s">
        <v>83</v>
      </c>
      <c r="E121" s="5">
        <v>4.5</v>
      </c>
      <c r="F121" s="6">
        <v>0.8235294118</v>
      </c>
      <c r="G121" s="5">
        <v>84.0</v>
      </c>
      <c r="H121" s="5">
        <v>2701.0</v>
      </c>
      <c r="I121" s="5" t="b">
        <v>1</v>
      </c>
      <c r="J121" s="5" t="b">
        <v>0</v>
      </c>
      <c r="K121" s="7">
        <v>72.042352943568</v>
      </c>
      <c r="L121" s="8">
        <v>0.06171791222154561</v>
      </c>
      <c r="M121" s="9">
        <f t="shared" si="1"/>
        <v>2.982288157</v>
      </c>
      <c r="N121" s="7">
        <f t="shared" si="2"/>
        <v>101.3977973</v>
      </c>
      <c r="O121" s="9">
        <f t="shared" si="3"/>
        <v>22.53284385</v>
      </c>
      <c r="P121" s="9">
        <v>3.199734734416959</v>
      </c>
      <c r="Q121" s="9">
        <v>2.638974074615381</v>
      </c>
      <c r="R121" s="9">
        <v>2.544435827328964</v>
      </c>
      <c r="S121" s="9">
        <v>3.366431903911951</v>
      </c>
      <c r="T121" s="9">
        <v>3.209677812090888</v>
      </c>
      <c r="U121" s="9">
        <v>3.096463682075338</v>
      </c>
      <c r="V121" s="9">
        <v>2.602618616414908</v>
      </c>
      <c r="W121" s="9">
        <v>2.936588917644246</v>
      </c>
      <c r="X121" s="9">
        <v>2.591921754691854</v>
      </c>
      <c r="Y121" s="9">
        <v>3.005296015109774</v>
      </c>
      <c r="Z121" s="9">
        <v>2.845225078836832</v>
      </c>
      <c r="AA121" s="9">
        <v>3.496527738244906</v>
      </c>
      <c r="AB121" s="9">
        <v>2.427982903364599</v>
      </c>
      <c r="AC121" s="9">
        <v>3.223381412004352</v>
      </c>
      <c r="AD121" s="9">
        <v>3.177629231195886</v>
      </c>
      <c r="AE121" s="9">
        <v>2.999250882869149</v>
      </c>
      <c r="AF121" s="9">
        <v>2.932578429989068</v>
      </c>
      <c r="AG121" s="9">
        <v>2.888185317200325</v>
      </c>
      <c r="AH121" s="9">
        <v>2.769898509093698</v>
      </c>
      <c r="AI121" s="9">
        <v>3.507515792040401</v>
      </c>
      <c r="AJ121" s="9">
        <v>2.67053033660566</v>
      </c>
      <c r="AK121" s="9">
        <v>3.008634313419987</v>
      </c>
      <c r="AL121" s="9">
        <v>2.48084842592821</v>
      </c>
      <c r="AM121" s="9">
        <v>2.994487705095719</v>
      </c>
      <c r="AN121" s="9">
        <v>2.991297914345997</v>
      </c>
      <c r="AO121" s="9">
        <v>2.930163906648106</v>
      </c>
      <c r="AP121" s="9">
        <v>2.545528507108166</v>
      </c>
      <c r="AQ121" s="9">
        <v>3.50317792971448</v>
      </c>
      <c r="AR121" s="9">
        <v>2.54889040735787</v>
      </c>
      <c r="AS121" s="9">
        <v>3.735960286311677</v>
      </c>
      <c r="AT121" s="9">
        <v>3.723262095574781</v>
      </c>
      <c r="AU121" s="9">
        <v>2.341993168392385</v>
      </c>
      <c r="AV121" s="9">
        <v>3.695749213001609</v>
      </c>
      <c r="AW121" s="9">
        <v>2.766954502257603</v>
      </c>
    </row>
    <row r="122" ht="15.0" customHeight="1">
      <c r="A122" s="5" t="s">
        <v>308</v>
      </c>
      <c r="B122" s="5" t="s">
        <v>309</v>
      </c>
      <c r="C122" s="5" t="s">
        <v>136</v>
      </c>
      <c r="D122" s="5" t="s">
        <v>52</v>
      </c>
      <c r="E122" s="5">
        <v>5.5</v>
      </c>
      <c r="F122" s="6">
        <v>0.9117647059</v>
      </c>
      <c r="G122" s="5">
        <v>83.0</v>
      </c>
      <c r="H122" s="5">
        <v>2850.0</v>
      </c>
      <c r="I122" s="5" t="b">
        <v>1</v>
      </c>
      <c r="J122" s="5" t="b">
        <v>0</v>
      </c>
      <c r="K122" s="7">
        <v>77.701470589295</v>
      </c>
      <c r="L122" s="8">
        <v>0.06244759567583372</v>
      </c>
      <c r="M122" s="9">
        <f t="shared" si="1"/>
        <v>3.552228145</v>
      </c>
      <c r="N122" s="7">
        <f t="shared" si="2"/>
        <v>120.7757569</v>
      </c>
      <c r="O122" s="9">
        <f t="shared" si="3"/>
        <v>21.95922853</v>
      </c>
      <c r="P122" s="9">
        <v>3.593762686174899</v>
      </c>
      <c r="Q122" s="9">
        <v>3.3150614977377</v>
      </c>
      <c r="R122" s="9">
        <v>3.205782877600615</v>
      </c>
      <c r="S122" s="9">
        <v>3.885506451219747</v>
      </c>
      <c r="T122" s="9">
        <v>3.631220788639524</v>
      </c>
      <c r="U122" s="9">
        <v>3.599377558056923</v>
      </c>
      <c r="V122" s="9">
        <v>3.153003125891779</v>
      </c>
      <c r="W122" s="9">
        <v>3.596526994494939</v>
      </c>
      <c r="X122" s="9">
        <v>3.244200594671938</v>
      </c>
      <c r="Y122" s="9">
        <v>3.555365704714163</v>
      </c>
      <c r="Z122" s="9">
        <v>3.279767461222693</v>
      </c>
      <c r="AA122" s="9">
        <v>4.269361127777048</v>
      </c>
      <c r="AB122" s="9">
        <v>2.954719526951486</v>
      </c>
      <c r="AC122" s="9">
        <v>4.079536898644099</v>
      </c>
      <c r="AD122" s="9">
        <v>3.523630308850075</v>
      </c>
      <c r="AE122" s="9">
        <v>3.617914672379279</v>
      </c>
      <c r="AF122" s="9">
        <v>3.46978325667442</v>
      </c>
      <c r="AG122" s="9">
        <v>3.391748935678779</v>
      </c>
      <c r="AH122" s="9">
        <v>3.307821310736921</v>
      </c>
      <c r="AI122" s="9">
        <v>4.099580529960042</v>
      </c>
      <c r="AJ122" s="9">
        <v>3.173067838973064</v>
      </c>
      <c r="AK122" s="9">
        <v>3.573312140552321</v>
      </c>
      <c r="AL122" s="9">
        <v>2.932709564642217</v>
      </c>
      <c r="AM122" s="9">
        <v>3.694718934596041</v>
      </c>
      <c r="AN122" s="9">
        <v>3.681487513742422</v>
      </c>
      <c r="AO122" s="9">
        <v>3.643304691592186</v>
      </c>
      <c r="AP122" s="9">
        <v>3.075233413603004</v>
      </c>
      <c r="AQ122" s="9">
        <v>4.183761044553078</v>
      </c>
      <c r="AR122" s="9">
        <v>3.170544944603372</v>
      </c>
      <c r="AS122" s="9">
        <v>4.189639295829233</v>
      </c>
      <c r="AT122" s="9">
        <v>4.139916583445577</v>
      </c>
      <c r="AU122" s="9">
        <v>2.963255192952996</v>
      </c>
      <c r="AV122" s="9">
        <v>4.047047952283102</v>
      </c>
      <c r="AW122" s="9">
        <v>3.534085501173803</v>
      </c>
    </row>
    <row r="123" ht="15.0" customHeight="1">
      <c r="A123" s="5" t="s">
        <v>310</v>
      </c>
      <c r="B123" s="5" t="s">
        <v>311</v>
      </c>
      <c r="C123" s="5" t="s">
        <v>59</v>
      </c>
      <c r="D123" s="5" t="s">
        <v>83</v>
      </c>
      <c r="E123" s="5">
        <v>6.0</v>
      </c>
      <c r="F123" s="6">
        <v>0.7037037037</v>
      </c>
      <c r="G123" s="5">
        <v>89.0</v>
      </c>
      <c r="H123" s="5">
        <v>1942.0</v>
      </c>
      <c r="I123" s="5" t="b">
        <v>1</v>
      </c>
      <c r="J123" s="5" t="b">
        <v>0</v>
      </c>
      <c r="K123" s="7">
        <v>67.441481481212</v>
      </c>
      <c r="L123" s="8">
        <v>0.07649168942279307</v>
      </c>
      <c r="M123" s="9">
        <f t="shared" si="1"/>
        <v>3.051777345</v>
      </c>
      <c r="N123" s="7">
        <f t="shared" si="2"/>
        <v>103.7604297</v>
      </c>
      <c r="O123" s="9">
        <f t="shared" si="3"/>
        <v>17.29340495</v>
      </c>
      <c r="P123" s="9">
        <v>0.0</v>
      </c>
      <c r="Q123" s="9">
        <v>3.129220003666168</v>
      </c>
      <c r="R123" s="9">
        <v>0.0</v>
      </c>
      <c r="S123" s="9">
        <v>2.876620570787723</v>
      </c>
      <c r="T123" s="9">
        <v>2.751793026888995</v>
      </c>
      <c r="U123" s="9">
        <v>7.04338693755064</v>
      </c>
      <c r="V123" s="9">
        <v>3.57077968609816</v>
      </c>
      <c r="W123" s="9">
        <v>3.060439723535676</v>
      </c>
      <c r="X123" s="9">
        <v>2.659371621175426</v>
      </c>
      <c r="Y123" s="9">
        <v>3.052905448984252</v>
      </c>
      <c r="Z123" s="9">
        <v>3.093116887310895</v>
      </c>
      <c r="AA123" s="9">
        <v>2.614907526375371</v>
      </c>
      <c r="AB123" s="9">
        <v>3.855500831509326</v>
      </c>
      <c r="AC123" s="9">
        <v>2.535631324415854</v>
      </c>
      <c r="AD123" s="9">
        <v>3.264795144293839</v>
      </c>
      <c r="AE123" s="9">
        <v>3.871534123505251</v>
      </c>
      <c r="AF123" s="9">
        <v>3.127638994929272</v>
      </c>
      <c r="AG123" s="9">
        <v>3.389028866888661</v>
      </c>
      <c r="AH123" s="9">
        <v>3.076297746292473</v>
      </c>
      <c r="AI123" s="9">
        <v>3.334409835242317</v>
      </c>
      <c r="AJ123" s="9">
        <v>2.702906231634009</v>
      </c>
      <c r="AK123" s="9">
        <v>3.093736770840195</v>
      </c>
      <c r="AL123" s="9">
        <v>3.611146749536824</v>
      </c>
      <c r="AM123" s="9">
        <v>2.921939103981257</v>
      </c>
      <c r="AN123" s="9">
        <v>3.36949500888506</v>
      </c>
      <c r="AO123" s="9">
        <v>3.630922948372172</v>
      </c>
      <c r="AP123" s="9">
        <v>2.645965697764435</v>
      </c>
      <c r="AQ123" s="9">
        <v>3.020054387031811</v>
      </c>
      <c r="AR123" s="9">
        <v>2.820444209420317</v>
      </c>
      <c r="AS123" s="9">
        <v>2.405514276951463</v>
      </c>
      <c r="AT123" s="9">
        <v>3.647865372815204</v>
      </c>
      <c r="AU123" s="9">
        <v>2.674254681261993</v>
      </c>
      <c r="AV123" s="9">
        <v>3.525205026755637</v>
      </c>
      <c r="AW123" s="9">
        <v>3.383600961226274</v>
      </c>
    </row>
    <row r="124" ht="15.0" customHeight="1">
      <c r="A124" s="5" t="s">
        <v>312</v>
      </c>
      <c r="B124" s="5" t="s">
        <v>313</v>
      </c>
      <c r="C124" s="5" t="s">
        <v>59</v>
      </c>
      <c r="D124" s="5" t="s">
        <v>52</v>
      </c>
      <c r="E124" s="5">
        <v>6.5</v>
      </c>
      <c r="F124" s="6">
        <v>0.75</v>
      </c>
      <c r="G124" s="5">
        <v>76.0</v>
      </c>
      <c r="H124" s="5">
        <v>1926.0</v>
      </c>
      <c r="I124" s="5" t="b">
        <v>1</v>
      </c>
      <c r="J124" s="5" t="b">
        <v>0</v>
      </c>
      <c r="K124" s="7">
        <v>62.7375</v>
      </c>
      <c r="L124" s="8">
        <v>0.0789537831883187</v>
      </c>
      <c r="M124" s="9">
        <f t="shared" si="1"/>
        <v>2.208988779</v>
      </c>
      <c r="N124" s="7">
        <f t="shared" si="2"/>
        <v>75.10561848</v>
      </c>
      <c r="O124" s="9">
        <f t="shared" si="3"/>
        <v>11.55471054</v>
      </c>
      <c r="P124" s="9">
        <v>2.221381024616006</v>
      </c>
      <c r="Q124" s="9">
        <v>2.236975823128817</v>
      </c>
      <c r="R124" s="9">
        <v>0.0</v>
      </c>
      <c r="S124" s="9">
        <v>2.146751871108713</v>
      </c>
      <c r="T124" s="9">
        <v>2.066915302130703</v>
      </c>
      <c r="U124" s="9">
        <v>4.714095970743919</v>
      </c>
      <c r="V124" s="9">
        <v>2.401102378039912</v>
      </c>
      <c r="W124" s="9">
        <v>2.210569634340373</v>
      </c>
      <c r="X124" s="9">
        <v>2.012083675654851</v>
      </c>
      <c r="Y124" s="9">
        <v>2.146089580977063</v>
      </c>
      <c r="Z124" s="9">
        <v>2.173544099143662</v>
      </c>
      <c r="AA124" s="9">
        <v>1.943605762209695</v>
      </c>
      <c r="AB124" s="9">
        <v>2.464893473209209</v>
      </c>
      <c r="AC124" s="9">
        <v>1.932890631254044</v>
      </c>
      <c r="AD124" s="9">
        <v>2.239566405176907</v>
      </c>
      <c r="AE124" s="9">
        <v>2.491238049924474</v>
      </c>
      <c r="AF124" s="9">
        <v>2.233351197483387</v>
      </c>
      <c r="AG124" s="9">
        <v>2.27160993985392</v>
      </c>
      <c r="AH124" s="9">
        <v>2.201979519860589</v>
      </c>
      <c r="AI124" s="9">
        <v>2.373443757449218</v>
      </c>
      <c r="AJ124" s="9">
        <v>2.039322379019201</v>
      </c>
      <c r="AK124" s="9">
        <v>2.177436853419891</v>
      </c>
      <c r="AL124" s="9">
        <v>2.474332561444867</v>
      </c>
      <c r="AM124" s="9">
        <v>2.099164300704479</v>
      </c>
      <c r="AN124" s="9">
        <v>2.240860175174737</v>
      </c>
      <c r="AO124" s="9">
        <v>2.45662896323173</v>
      </c>
      <c r="AP124" s="9">
        <v>2.018163797371876</v>
      </c>
      <c r="AQ124" s="9">
        <v>2.111571551252663</v>
      </c>
      <c r="AR124" s="9">
        <v>2.045197319624402</v>
      </c>
      <c r="AS124" s="9">
        <v>1.908089216454255</v>
      </c>
      <c r="AT124" s="9">
        <v>2.438734115317811</v>
      </c>
      <c r="AU124" s="9">
        <v>1.991282698356015</v>
      </c>
      <c r="AV124" s="9">
        <v>2.361577082322987</v>
      </c>
      <c r="AW124" s="9">
        <v>2.261169369720708</v>
      </c>
    </row>
    <row r="125" ht="15.0" customHeight="1">
      <c r="A125" s="5" t="s">
        <v>314</v>
      </c>
      <c r="B125" s="5" t="s">
        <v>315</v>
      </c>
      <c r="C125" s="5" t="s">
        <v>67</v>
      </c>
      <c r="D125" s="5" t="s">
        <v>103</v>
      </c>
      <c r="E125" s="5">
        <v>4.5</v>
      </c>
      <c r="F125" s="6">
        <v>0.3225806452</v>
      </c>
      <c r="G125" s="5">
        <v>90.0</v>
      </c>
      <c r="H125" s="5">
        <v>982.0</v>
      </c>
      <c r="I125" s="5" t="b">
        <v>0</v>
      </c>
      <c r="J125" s="5" t="b">
        <v>0</v>
      </c>
      <c r="K125" s="7">
        <v>29.032258068</v>
      </c>
      <c r="L125" s="8">
        <v>0.06050988326583294</v>
      </c>
      <c r="M125" s="9">
        <f t="shared" si="1"/>
        <v>1.060510234</v>
      </c>
      <c r="N125" s="7">
        <f t="shared" si="2"/>
        <v>36.05734795</v>
      </c>
      <c r="O125" s="9">
        <f t="shared" si="3"/>
        <v>8.01274399</v>
      </c>
      <c r="P125" s="9">
        <v>1.060510233963723</v>
      </c>
      <c r="Q125" s="9">
        <v>1.060510233963723</v>
      </c>
      <c r="R125" s="9">
        <v>1.060510233963723</v>
      </c>
      <c r="S125" s="9">
        <v>1.060510233963723</v>
      </c>
      <c r="T125" s="9">
        <v>1.060510233963723</v>
      </c>
      <c r="U125" s="9">
        <v>1.060510233963723</v>
      </c>
      <c r="V125" s="9">
        <v>1.060510233963723</v>
      </c>
      <c r="W125" s="9">
        <v>1.060510233963723</v>
      </c>
      <c r="X125" s="9">
        <v>1.060510233963723</v>
      </c>
      <c r="Y125" s="9">
        <v>1.060510233963723</v>
      </c>
      <c r="Z125" s="9">
        <v>1.060510233963723</v>
      </c>
      <c r="AA125" s="9">
        <v>1.060510233963723</v>
      </c>
      <c r="AB125" s="9">
        <v>1.060510233963723</v>
      </c>
      <c r="AC125" s="9">
        <v>1.060510233963723</v>
      </c>
      <c r="AD125" s="9">
        <v>1.060510233963723</v>
      </c>
      <c r="AE125" s="9">
        <v>1.060510233963723</v>
      </c>
      <c r="AF125" s="9">
        <v>1.060510233963723</v>
      </c>
      <c r="AG125" s="9">
        <v>1.060510233963723</v>
      </c>
      <c r="AH125" s="9">
        <v>1.060510233963723</v>
      </c>
      <c r="AI125" s="9">
        <v>1.060510233963723</v>
      </c>
      <c r="AJ125" s="9">
        <v>1.060510233963723</v>
      </c>
      <c r="AK125" s="9">
        <v>1.060510233963723</v>
      </c>
      <c r="AL125" s="9">
        <v>1.060510233963723</v>
      </c>
      <c r="AM125" s="9">
        <v>1.060510233963723</v>
      </c>
      <c r="AN125" s="9">
        <v>1.060510233963723</v>
      </c>
      <c r="AO125" s="9">
        <v>1.060510233963723</v>
      </c>
      <c r="AP125" s="9">
        <v>1.060510233963723</v>
      </c>
      <c r="AQ125" s="9">
        <v>1.060510233963723</v>
      </c>
      <c r="AR125" s="9">
        <v>1.060510233963723</v>
      </c>
      <c r="AS125" s="9">
        <v>1.060510233963723</v>
      </c>
      <c r="AT125" s="9">
        <v>1.060510233963723</v>
      </c>
      <c r="AU125" s="9">
        <v>1.060510233963723</v>
      </c>
      <c r="AV125" s="9">
        <v>1.060510233963723</v>
      </c>
      <c r="AW125" s="9">
        <v>1.060510233963723</v>
      </c>
    </row>
    <row r="126" ht="15.0" customHeight="1">
      <c r="A126" s="5" t="s">
        <v>316</v>
      </c>
      <c r="B126" s="5" t="s">
        <v>317</v>
      </c>
      <c r="C126" s="5" t="s">
        <v>141</v>
      </c>
      <c r="D126" s="5" t="s">
        <v>52</v>
      </c>
      <c r="E126" s="5">
        <v>6.0</v>
      </c>
      <c r="F126" s="6">
        <v>0.9411764706</v>
      </c>
      <c r="G126" s="10">
        <v>86.0</v>
      </c>
      <c r="H126" s="5">
        <v>3149.0</v>
      </c>
      <c r="I126" s="5" t="b">
        <v>1</v>
      </c>
      <c r="J126" s="5" t="b">
        <v>0</v>
      </c>
      <c r="K126" s="7">
        <v>82.29117647133</v>
      </c>
      <c r="L126" s="8">
        <v>0.06103725201465898</v>
      </c>
      <c r="M126" s="9">
        <f t="shared" si="1"/>
        <v>2.995793792</v>
      </c>
      <c r="N126" s="7">
        <f t="shared" si="2"/>
        <v>101.8569889</v>
      </c>
      <c r="O126" s="9">
        <f t="shared" si="3"/>
        <v>16.97616482</v>
      </c>
      <c r="P126" s="9">
        <v>3.025403731703526</v>
      </c>
      <c r="Q126" s="9">
        <v>3.0002700524275</v>
      </c>
      <c r="R126" s="9">
        <v>2.582122276324245</v>
      </c>
      <c r="S126" s="9">
        <v>3.329239043821169</v>
      </c>
      <c r="T126" s="9">
        <v>2.830162302556035</v>
      </c>
      <c r="U126" s="9">
        <v>3.049256674351327</v>
      </c>
      <c r="V126" s="9">
        <v>3.370099117733712</v>
      </c>
      <c r="W126" s="9">
        <v>2.944520380425832</v>
      </c>
      <c r="X126" s="9">
        <v>2.999234819911618</v>
      </c>
      <c r="Y126" s="9">
        <v>2.740692476307328</v>
      </c>
      <c r="Z126" s="9">
        <v>3.204654764615647</v>
      </c>
      <c r="AA126" s="9">
        <v>2.678290893631752</v>
      </c>
      <c r="AB126" s="9">
        <v>3.056210692655001</v>
      </c>
      <c r="AC126" s="9">
        <v>3.403399870747918</v>
      </c>
      <c r="AD126" s="9">
        <v>2.940210995192738</v>
      </c>
      <c r="AE126" s="9">
        <v>2.831180261687539</v>
      </c>
      <c r="AF126" s="9">
        <v>3.037849448184594</v>
      </c>
      <c r="AG126" s="9">
        <v>3.411320561884735</v>
      </c>
      <c r="AH126" s="9">
        <v>2.726513726714594</v>
      </c>
      <c r="AI126" s="9">
        <v>2.891630040987764</v>
      </c>
      <c r="AJ126" s="9">
        <v>3.020835087994074</v>
      </c>
      <c r="AK126" s="9">
        <v>2.936764371129393</v>
      </c>
      <c r="AL126" s="9">
        <v>3.019522942222533</v>
      </c>
      <c r="AM126" s="9">
        <v>3.057651275965582</v>
      </c>
      <c r="AN126" s="9">
        <v>3.279295150693477</v>
      </c>
      <c r="AO126" s="9">
        <v>2.748598096645873</v>
      </c>
      <c r="AP126" s="9">
        <v>2.811316550543029</v>
      </c>
      <c r="AQ126" s="9">
        <v>2.768350616900888</v>
      </c>
      <c r="AR126" s="9">
        <v>3.273021055723258</v>
      </c>
      <c r="AS126" s="9">
        <v>2.989958264028241</v>
      </c>
      <c r="AT126" s="9">
        <v>3.327859893830635</v>
      </c>
      <c r="AU126" s="9">
        <v>2.597295065806433</v>
      </c>
      <c r="AV126" s="9">
        <v>3.377226079644521</v>
      </c>
      <c r="AW126" s="9">
        <v>2.597032350311902</v>
      </c>
    </row>
    <row r="127" ht="15.0" customHeight="1">
      <c r="A127" s="5" t="s">
        <v>318</v>
      </c>
      <c r="B127" s="5" t="s">
        <v>319</v>
      </c>
      <c r="C127" s="5" t="s">
        <v>79</v>
      </c>
      <c r="D127" s="5" t="s">
        <v>103</v>
      </c>
      <c r="E127" s="5">
        <v>4.5</v>
      </c>
      <c r="F127" s="6"/>
      <c r="G127" s="5"/>
      <c r="H127" s="5">
        <v>1488.0</v>
      </c>
      <c r="I127" s="5" t="b">
        <v>0</v>
      </c>
      <c r="J127" s="5" t="b">
        <v>0</v>
      </c>
      <c r="K127" s="7">
        <v>0.0</v>
      </c>
      <c r="L127" s="8">
        <v>0.09856990563797303</v>
      </c>
      <c r="M127" s="9">
        <f t="shared" si="1"/>
        <v>0</v>
      </c>
      <c r="N127" s="7">
        <f t="shared" si="2"/>
        <v>0</v>
      </c>
      <c r="O127" s="9">
        <f t="shared" si="3"/>
        <v>0</v>
      </c>
      <c r="P127" s="9">
        <v>0.0</v>
      </c>
      <c r="Q127" s="9">
        <v>0.0</v>
      </c>
      <c r="R127" s="9">
        <v>0.0</v>
      </c>
      <c r="S127" s="9">
        <v>0.0</v>
      </c>
      <c r="T127" s="9">
        <v>0.0</v>
      </c>
      <c r="U127" s="9">
        <v>0.0</v>
      </c>
      <c r="V127" s="9">
        <v>0.0</v>
      </c>
      <c r="W127" s="9">
        <v>0.0</v>
      </c>
      <c r="X127" s="9">
        <v>0.0</v>
      </c>
      <c r="Y127" s="9">
        <v>0.0</v>
      </c>
      <c r="Z127" s="9">
        <v>0.0</v>
      </c>
      <c r="AA127" s="9">
        <v>0.0</v>
      </c>
      <c r="AB127" s="9">
        <v>0.0</v>
      </c>
      <c r="AC127" s="9">
        <v>0.0</v>
      </c>
      <c r="AD127" s="9">
        <v>0.0</v>
      </c>
      <c r="AE127" s="9">
        <v>0.0</v>
      </c>
      <c r="AF127" s="9">
        <v>0.0</v>
      </c>
      <c r="AG127" s="9">
        <v>0.0</v>
      </c>
      <c r="AH127" s="9">
        <v>0.0</v>
      </c>
      <c r="AI127" s="9">
        <v>0.0</v>
      </c>
      <c r="AJ127" s="9">
        <v>0.0</v>
      </c>
      <c r="AK127" s="9">
        <v>0.0</v>
      </c>
      <c r="AL127" s="9">
        <v>0.0</v>
      </c>
      <c r="AM127" s="9">
        <v>0.0</v>
      </c>
      <c r="AN127" s="9">
        <v>0.0</v>
      </c>
      <c r="AO127" s="9">
        <v>0.0</v>
      </c>
      <c r="AP127" s="9">
        <v>0.0</v>
      </c>
      <c r="AQ127" s="9">
        <v>0.0</v>
      </c>
      <c r="AR127" s="9">
        <v>0.0</v>
      </c>
      <c r="AS127" s="9">
        <v>0.0</v>
      </c>
      <c r="AT127" s="9">
        <v>0.0</v>
      </c>
      <c r="AU127" s="9">
        <v>0.0</v>
      </c>
      <c r="AV127" s="9">
        <v>0.0</v>
      </c>
      <c r="AW127" s="9">
        <v>0.0</v>
      </c>
    </row>
    <row r="128" ht="15.0" customHeight="1">
      <c r="A128" s="5" t="s">
        <v>320</v>
      </c>
      <c r="B128" s="5" t="s">
        <v>321</v>
      </c>
      <c r="C128" s="5" t="s">
        <v>79</v>
      </c>
      <c r="D128" s="5" t="s">
        <v>83</v>
      </c>
      <c r="E128" s="5">
        <v>5.0</v>
      </c>
      <c r="F128" s="6">
        <v>0.6896551724</v>
      </c>
      <c r="G128" s="10">
        <v>82.0</v>
      </c>
      <c r="H128" s="5">
        <v>1886.0</v>
      </c>
      <c r="I128" s="5" t="b">
        <v>1</v>
      </c>
      <c r="J128" s="5" t="b">
        <v>0</v>
      </c>
      <c r="K128" s="7">
        <v>61.59172413702399</v>
      </c>
      <c r="L128" s="8">
        <v>0.07123357963685302</v>
      </c>
      <c r="M128" s="9">
        <f t="shared" si="1"/>
        <v>3.276259021</v>
      </c>
      <c r="N128" s="7">
        <f t="shared" si="2"/>
        <v>111.3928067</v>
      </c>
      <c r="O128" s="9">
        <f t="shared" si="3"/>
        <v>22.27856135</v>
      </c>
      <c r="P128" s="9">
        <v>2.763136657808068</v>
      </c>
      <c r="Q128" s="9">
        <v>3.845676264216394</v>
      </c>
      <c r="R128" s="9">
        <v>0.0</v>
      </c>
      <c r="S128" s="9">
        <v>3.519937115800801</v>
      </c>
      <c r="T128" s="9">
        <v>6.248215299616296</v>
      </c>
      <c r="U128" s="9">
        <v>4.032765563081049</v>
      </c>
      <c r="V128" s="9">
        <v>2.827500185927348</v>
      </c>
      <c r="W128" s="9">
        <v>3.298284850648413</v>
      </c>
      <c r="X128" s="9">
        <v>3.404211538191796</v>
      </c>
      <c r="Y128" s="9">
        <v>2.707694521947567</v>
      </c>
      <c r="Z128" s="9">
        <v>3.215153443636965</v>
      </c>
      <c r="AA128" s="9">
        <v>3.301898014944816</v>
      </c>
      <c r="AB128" s="9">
        <v>4.075372916402152</v>
      </c>
      <c r="AC128" s="9">
        <v>2.693319945613142</v>
      </c>
      <c r="AD128" s="9">
        <v>3.278457347144677</v>
      </c>
      <c r="AE128" s="9">
        <v>3.700167123530552</v>
      </c>
      <c r="AF128" s="9">
        <v>2.531352635613226</v>
      </c>
      <c r="AG128" s="9">
        <v>3.848758492062978</v>
      </c>
      <c r="AH128" s="9">
        <v>2.882966508541299</v>
      </c>
      <c r="AI128" s="9">
        <v>3.282000965400327</v>
      </c>
      <c r="AJ128" s="9">
        <v>4.061779359098221</v>
      </c>
      <c r="AK128" s="9">
        <v>2.374063083811849</v>
      </c>
      <c r="AL128" s="9">
        <v>3.762124565071752</v>
      </c>
      <c r="AM128" s="9">
        <v>3.495709295337472</v>
      </c>
      <c r="AN128" s="9">
        <v>3.212325373260666</v>
      </c>
      <c r="AO128" s="9">
        <v>3.530828495287346</v>
      </c>
      <c r="AP128" s="9">
        <v>3.840052658147921</v>
      </c>
      <c r="AQ128" s="9">
        <v>2.786851944886186</v>
      </c>
      <c r="AR128" s="9">
        <v>2.994542087177701</v>
      </c>
      <c r="AS128" s="9">
        <v>3.20395032549522</v>
      </c>
      <c r="AT128" s="9">
        <v>3.15970239788599</v>
      </c>
      <c r="AU128" s="9">
        <v>3.213512873237315</v>
      </c>
      <c r="AV128" s="9">
        <v>3.010830374118374</v>
      </c>
      <c r="AW128" s="9">
        <v>3.289664503448404</v>
      </c>
    </row>
    <row r="129" ht="15.0" customHeight="1">
      <c r="A129" s="5" t="s">
        <v>322</v>
      </c>
      <c r="B129" s="5" t="s">
        <v>323</v>
      </c>
      <c r="C129" s="5" t="s">
        <v>124</v>
      </c>
      <c r="D129" s="5" t="s">
        <v>83</v>
      </c>
      <c r="E129" s="5">
        <v>5.0</v>
      </c>
      <c r="F129" s="6"/>
      <c r="G129" s="10"/>
      <c r="H129" s="5">
        <v>3228.0</v>
      </c>
      <c r="I129" s="5" t="b">
        <v>0</v>
      </c>
      <c r="J129" s="5" t="b">
        <v>0</v>
      </c>
      <c r="K129" s="7">
        <v>16.24</v>
      </c>
      <c r="L129" s="8">
        <v>0.07902772564335787</v>
      </c>
      <c r="M129" s="9">
        <f t="shared" si="1"/>
        <v>1.139863878</v>
      </c>
      <c r="N129" s="7">
        <f t="shared" si="2"/>
        <v>38.75537184</v>
      </c>
      <c r="O129" s="9">
        <f t="shared" si="3"/>
        <v>7.751074368</v>
      </c>
      <c r="P129" s="9">
        <v>1.118641197294602</v>
      </c>
      <c r="Q129" s="9">
        <v>1.133510574012717</v>
      </c>
      <c r="R129" s="9">
        <v>1.128614229864326</v>
      </c>
      <c r="S129" s="9">
        <v>1.127565012869</v>
      </c>
      <c r="T129" s="9">
        <v>1.181684604509988</v>
      </c>
      <c r="U129" s="9">
        <v>1.134563574176537</v>
      </c>
      <c r="V129" s="9">
        <v>1.105064712437995</v>
      </c>
      <c r="W129" s="9">
        <v>1.171470213667211</v>
      </c>
      <c r="X129" s="9">
        <v>1.102486961691627</v>
      </c>
      <c r="Y129" s="9">
        <v>1.175300567689418</v>
      </c>
      <c r="Z129" s="9">
        <v>1.141246050618569</v>
      </c>
      <c r="AA129" s="9">
        <v>1.146249233279939</v>
      </c>
      <c r="AB129" s="9">
        <v>1.168065006027086</v>
      </c>
      <c r="AC129" s="9">
        <v>1.132964980337426</v>
      </c>
      <c r="AD129" s="9">
        <v>1.116374537740406</v>
      </c>
      <c r="AE129" s="9">
        <v>1.169062703934982</v>
      </c>
      <c r="AF129" s="9">
        <v>1.1488333352581</v>
      </c>
      <c r="AG129" s="9">
        <v>1.143127318694156</v>
      </c>
      <c r="AH129" s="9">
        <v>1.121208157786285</v>
      </c>
      <c r="AI129" s="9">
        <v>1.111729932902029</v>
      </c>
      <c r="AJ129" s="9">
        <v>1.163902203774358</v>
      </c>
      <c r="AK129" s="9">
        <v>1.137691143644873</v>
      </c>
      <c r="AL129" s="9">
        <v>1.161774471648175</v>
      </c>
      <c r="AM129" s="9">
        <v>1.138440727537145</v>
      </c>
      <c r="AN129" s="9">
        <v>1.107262952638185</v>
      </c>
      <c r="AO129" s="9">
        <v>1.142709483029406</v>
      </c>
      <c r="AP129" s="9">
        <v>1.15598361262687</v>
      </c>
      <c r="AQ129" s="9">
        <v>1.140249522064512</v>
      </c>
      <c r="AR129" s="9">
        <v>1.139692553879182</v>
      </c>
      <c r="AS129" s="9">
        <v>1.147923731646913</v>
      </c>
      <c r="AT129" s="9">
        <v>1.123242130054865</v>
      </c>
      <c r="AU129" s="9">
        <v>1.124639150038444</v>
      </c>
      <c r="AV129" s="9">
        <v>1.172796595495571</v>
      </c>
      <c r="AW129" s="9">
        <v>1.121300659391763</v>
      </c>
    </row>
    <row r="130" ht="15.0" customHeight="1">
      <c r="A130" s="5" t="s">
        <v>324</v>
      </c>
      <c r="B130" s="5" t="s">
        <v>325</v>
      </c>
      <c r="C130" s="5" t="s">
        <v>55</v>
      </c>
      <c r="D130" s="5" t="s">
        <v>83</v>
      </c>
      <c r="E130" s="5">
        <v>6.5</v>
      </c>
      <c r="F130" s="6">
        <v>0.6875</v>
      </c>
      <c r="G130" s="5">
        <v>71.0</v>
      </c>
      <c r="H130" s="5">
        <v>1013.0</v>
      </c>
      <c r="I130" s="5" t="b">
        <v>1</v>
      </c>
      <c r="J130" s="5" t="b">
        <v>0</v>
      </c>
      <c r="K130" s="7">
        <v>53.8875</v>
      </c>
      <c r="L130" s="8">
        <v>0.09777398870201044</v>
      </c>
      <c r="M130" s="9">
        <f t="shared" si="1"/>
        <v>3.153723332</v>
      </c>
      <c r="N130" s="7">
        <f t="shared" si="2"/>
        <v>107.2265933</v>
      </c>
      <c r="O130" s="9">
        <f t="shared" si="3"/>
        <v>16.49639897</v>
      </c>
      <c r="P130" s="9">
        <v>2.999705432506096</v>
      </c>
      <c r="Q130" s="9">
        <v>3.815795404582621</v>
      </c>
      <c r="R130" s="9">
        <v>3.388248706433902</v>
      </c>
      <c r="S130" s="9">
        <v>3.971090188339601</v>
      </c>
      <c r="T130" s="9">
        <v>2.512785916496982</v>
      </c>
      <c r="U130" s="9">
        <v>3.164905218317121</v>
      </c>
      <c r="V130" s="9">
        <v>3.274803461549588</v>
      </c>
      <c r="W130" s="9">
        <v>3.064346052027016</v>
      </c>
      <c r="X130" s="9">
        <v>2.861305357127016</v>
      </c>
      <c r="Y130" s="9">
        <v>2.163401026615799</v>
      </c>
      <c r="Z130" s="9">
        <v>3.796744709161147</v>
      </c>
      <c r="AA130" s="9">
        <v>2.587109928120442</v>
      </c>
      <c r="AB130" s="9">
        <v>3.695898828076637</v>
      </c>
      <c r="AC130" s="9">
        <v>3.169608258077429</v>
      </c>
      <c r="AD130" s="9">
        <v>3.405157964035521</v>
      </c>
      <c r="AE130" s="9">
        <v>2.517081756625741</v>
      </c>
      <c r="AF130" s="9">
        <v>2.931905760624893</v>
      </c>
      <c r="AG130" s="9">
        <v>2.661659926885501</v>
      </c>
      <c r="AH130" s="9">
        <v>3.069612964616561</v>
      </c>
      <c r="AI130" s="9">
        <v>3.80741093751322</v>
      </c>
      <c r="AJ130" s="9">
        <v>2.504856213222238</v>
      </c>
      <c r="AK130" s="9">
        <v>3.084763847538277</v>
      </c>
      <c r="AL130" s="9">
        <v>3.492057967728069</v>
      </c>
      <c r="AM130" s="9">
        <v>2.594953039590825</v>
      </c>
      <c r="AN130" s="9">
        <v>3.170021660211005</v>
      </c>
      <c r="AO130" s="9">
        <v>3.164351507987375</v>
      </c>
      <c r="AP130" s="9">
        <v>4.015047516304728</v>
      </c>
      <c r="AQ130" s="9">
        <v>3.163092583660638</v>
      </c>
      <c r="AR130" s="9">
        <v>3.352795432803102</v>
      </c>
      <c r="AS130" s="9">
        <v>3.614430948764405</v>
      </c>
      <c r="AT130" s="9">
        <v>4.036651274738799</v>
      </c>
      <c r="AU130" s="9">
        <v>2.692122076061078</v>
      </c>
      <c r="AV130" s="9">
        <v>2.396434579651484</v>
      </c>
      <c r="AW130" s="9">
        <v>3.086436836984815</v>
      </c>
    </row>
    <row r="131" ht="15.0" customHeight="1">
      <c r="A131" s="5" t="s">
        <v>326</v>
      </c>
      <c r="B131" s="5" t="s">
        <v>327</v>
      </c>
      <c r="C131" s="5" t="s">
        <v>92</v>
      </c>
      <c r="D131" s="5" t="s">
        <v>103</v>
      </c>
      <c r="E131" s="5">
        <v>5.0</v>
      </c>
      <c r="F131" s="6">
        <v>1.0</v>
      </c>
      <c r="G131" s="5">
        <v>90.0</v>
      </c>
      <c r="H131" s="5">
        <v>2356.0</v>
      </c>
      <c r="I131" s="5" t="b">
        <v>1</v>
      </c>
      <c r="J131" s="5" t="b">
        <v>0</v>
      </c>
      <c r="K131" s="7">
        <v>90.0</v>
      </c>
      <c r="L131" s="8">
        <v>0.05240042312828989</v>
      </c>
      <c r="M131" s="9">
        <f t="shared" si="1"/>
        <v>3.632950831</v>
      </c>
      <c r="N131" s="7">
        <f t="shared" si="2"/>
        <v>123.5203283</v>
      </c>
      <c r="O131" s="9">
        <f t="shared" si="3"/>
        <v>24.70406565</v>
      </c>
      <c r="P131" s="9">
        <v>3.494059300919814</v>
      </c>
      <c r="Q131" s="9">
        <v>3.881691365700492</v>
      </c>
      <c r="R131" s="9">
        <v>3.609879041903493</v>
      </c>
      <c r="S131" s="9">
        <v>3.520392323182759</v>
      </c>
      <c r="T131" s="9">
        <v>3.693534612013198</v>
      </c>
      <c r="U131" s="9">
        <v>3.627946549605875</v>
      </c>
      <c r="V131" s="9">
        <v>3.697201019891307</v>
      </c>
      <c r="W131" s="9">
        <v>3.594776882739841</v>
      </c>
      <c r="X131" s="9">
        <v>3.51778444953595</v>
      </c>
      <c r="Y131" s="9">
        <v>3.753080015898037</v>
      </c>
      <c r="Z131" s="9">
        <v>3.50527411000667</v>
      </c>
      <c r="AA131" s="9">
        <v>3.666318772171451</v>
      </c>
      <c r="AB131" s="9">
        <v>3.614487648621346</v>
      </c>
      <c r="AC131" s="9">
        <v>3.614619067912501</v>
      </c>
      <c r="AD131" s="9">
        <v>3.771399195243299</v>
      </c>
      <c r="AE131" s="9">
        <v>3.550375233959945</v>
      </c>
      <c r="AF131" s="9">
        <v>3.739312974269496</v>
      </c>
      <c r="AG131" s="9">
        <v>3.516500465168098</v>
      </c>
      <c r="AH131" s="9">
        <v>3.534444169260784</v>
      </c>
      <c r="AI131" s="9">
        <v>3.609706363503518</v>
      </c>
      <c r="AJ131" s="9">
        <v>3.621593513571475</v>
      </c>
      <c r="AK131" s="9">
        <v>3.877609385074186</v>
      </c>
      <c r="AL131" s="9">
        <v>3.524183283855723</v>
      </c>
      <c r="AM131" s="9">
        <v>3.65691868785759</v>
      </c>
      <c r="AN131" s="9">
        <v>3.597368446291712</v>
      </c>
      <c r="AO131" s="9">
        <v>3.526684546220444</v>
      </c>
      <c r="AP131" s="9">
        <v>3.555897300584808</v>
      </c>
      <c r="AQ131" s="9">
        <v>3.570248069843703</v>
      </c>
      <c r="AR131" s="9">
        <v>3.696398668073351</v>
      </c>
      <c r="AS131" s="9">
        <v>3.602542149022328</v>
      </c>
      <c r="AT131" s="9">
        <v>3.533907269828052</v>
      </c>
      <c r="AU131" s="9">
        <v>3.760478510776529</v>
      </c>
      <c r="AV131" s="9">
        <v>3.882833073508817</v>
      </c>
      <c r="AW131" s="9">
        <v>3.600881804090809</v>
      </c>
    </row>
    <row r="132" ht="15.0" customHeight="1">
      <c r="A132" s="5" t="s">
        <v>328</v>
      </c>
      <c r="B132" s="5" t="s">
        <v>329</v>
      </c>
      <c r="C132" s="5" t="s">
        <v>92</v>
      </c>
      <c r="D132" s="5" t="s">
        <v>52</v>
      </c>
      <c r="E132" s="5">
        <v>6.0</v>
      </c>
      <c r="F132" s="6">
        <v>0.875</v>
      </c>
      <c r="G132" s="5">
        <v>82.0</v>
      </c>
      <c r="H132" s="5">
        <v>2599.0</v>
      </c>
      <c r="I132" s="5" t="b">
        <v>1</v>
      </c>
      <c r="J132" s="5" t="b">
        <v>0</v>
      </c>
      <c r="K132" s="7">
        <v>74.61875</v>
      </c>
      <c r="L132" s="8">
        <v>0.06742332115222521</v>
      </c>
      <c r="M132" s="9">
        <f t="shared" si="1"/>
        <v>2.413177009</v>
      </c>
      <c r="N132" s="7">
        <f t="shared" si="2"/>
        <v>82.04801832</v>
      </c>
      <c r="O132" s="9">
        <f t="shared" si="3"/>
        <v>13.67466972</v>
      </c>
      <c r="P132" s="9">
        <v>2.132106309275884</v>
      </c>
      <c r="Q132" s="9">
        <v>2.718922516338237</v>
      </c>
      <c r="R132" s="9">
        <v>2.381384280714408</v>
      </c>
      <c r="S132" s="9">
        <v>2.227765596255445</v>
      </c>
      <c r="T132" s="9">
        <v>2.439030584454155</v>
      </c>
      <c r="U132" s="9">
        <v>2.425429130642248</v>
      </c>
      <c r="V132" s="9">
        <v>2.476956639383911</v>
      </c>
      <c r="W132" s="9">
        <v>2.309337536231832</v>
      </c>
      <c r="X132" s="9">
        <v>2.237762990516405</v>
      </c>
      <c r="Y132" s="9">
        <v>2.627453790583858</v>
      </c>
      <c r="Z132" s="9">
        <v>2.142903587304277</v>
      </c>
      <c r="AA132" s="9">
        <v>2.614593316369851</v>
      </c>
      <c r="AB132" s="9">
        <v>2.455224745531278</v>
      </c>
      <c r="AC132" s="9">
        <v>2.459759482985162</v>
      </c>
      <c r="AD132" s="9">
        <v>2.69390027086519</v>
      </c>
      <c r="AE132" s="9">
        <v>2.248213396980404</v>
      </c>
      <c r="AF132" s="9">
        <v>2.58047439886219</v>
      </c>
      <c r="AG132" s="9">
        <v>2.144595395884561</v>
      </c>
      <c r="AH132" s="9">
        <v>2.286162074377162</v>
      </c>
      <c r="AI132" s="9">
        <v>2.386379709052283</v>
      </c>
      <c r="AJ132" s="9">
        <v>2.437336410807221</v>
      </c>
      <c r="AK132" s="9">
        <v>2.686178499456548</v>
      </c>
      <c r="AL132" s="9">
        <v>2.198266397518943</v>
      </c>
      <c r="AM132" s="9">
        <v>2.448111582446859</v>
      </c>
      <c r="AN132" s="9">
        <v>2.433470727359412</v>
      </c>
      <c r="AO132" s="9">
        <v>2.257052260858457</v>
      </c>
      <c r="AP132" s="9">
        <v>2.373437247984288</v>
      </c>
      <c r="AQ132" s="9">
        <v>2.305357352360366</v>
      </c>
      <c r="AR132" s="9">
        <v>2.463959548108982</v>
      </c>
      <c r="AS132" s="9">
        <v>2.420389385459999</v>
      </c>
      <c r="AT132" s="9">
        <v>2.231086805775587</v>
      </c>
      <c r="AU132" s="9">
        <v>2.718545800880293</v>
      </c>
      <c r="AV132" s="9">
        <v>2.73609901948692</v>
      </c>
      <c r="AW132" s="9">
        <v>2.350371528998321</v>
      </c>
    </row>
    <row r="133" ht="15.0" customHeight="1">
      <c r="A133" s="5" t="s">
        <v>330</v>
      </c>
      <c r="B133" s="5" t="s">
        <v>331</v>
      </c>
      <c r="C133" s="5" t="s">
        <v>131</v>
      </c>
      <c r="D133" s="5" t="s">
        <v>83</v>
      </c>
      <c r="E133" s="5">
        <v>5.0</v>
      </c>
      <c r="F133" s="6">
        <v>0.8571428571</v>
      </c>
      <c r="G133" s="10">
        <v>73.0</v>
      </c>
      <c r="H133" s="5">
        <v>920.0</v>
      </c>
      <c r="I133" s="5" t="b">
        <v>1</v>
      </c>
      <c r="J133" s="5" t="b">
        <v>0</v>
      </c>
      <c r="K133" s="7">
        <v>64.891428568996</v>
      </c>
      <c r="L133" s="8">
        <v>0.0649255664738304</v>
      </c>
      <c r="M133" s="9">
        <f t="shared" si="1"/>
        <v>2.519956553</v>
      </c>
      <c r="N133" s="7">
        <f t="shared" si="2"/>
        <v>85.6785228</v>
      </c>
      <c r="O133" s="9">
        <f t="shared" si="3"/>
        <v>17.13570456</v>
      </c>
      <c r="P133" s="9">
        <v>3.177542606494799</v>
      </c>
      <c r="Q133" s="9">
        <v>2.080196670571039</v>
      </c>
      <c r="R133" s="9">
        <v>3.151844967464886</v>
      </c>
      <c r="S133" s="9">
        <v>2.167836896404835</v>
      </c>
      <c r="T133" s="9">
        <v>2.266365410368131</v>
      </c>
      <c r="U133" s="9">
        <v>2.467926267808131</v>
      </c>
      <c r="V133" s="9">
        <v>2.158568491427992</v>
      </c>
      <c r="W133" s="9">
        <v>2.843842686939428</v>
      </c>
      <c r="X133" s="9">
        <v>2.522921562311487</v>
      </c>
      <c r="Y133" s="9">
        <v>2.690269990613858</v>
      </c>
      <c r="Z133" s="9">
        <v>2.71153666586674</v>
      </c>
      <c r="AA133" s="9">
        <v>2.475775825176656</v>
      </c>
      <c r="AB133" s="9">
        <v>2.960267219016248</v>
      </c>
      <c r="AC133" s="9">
        <v>2.01352503790091</v>
      </c>
      <c r="AD133" s="9">
        <v>2.41139060014894</v>
      </c>
      <c r="AE133" s="9">
        <v>2.19514372788231</v>
      </c>
      <c r="AF133" s="9">
        <v>2.535225006403503</v>
      </c>
      <c r="AG133" s="9">
        <v>2.1644487924636</v>
      </c>
      <c r="AH133" s="9">
        <v>2.474614313075533</v>
      </c>
      <c r="AI133" s="9">
        <v>3.16990791794092</v>
      </c>
      <c r="AJ133" s="9">
        <v>2.696969029724139</v>
      </c>
      <c r="AK133" s="9">
        <v>2.947883620714389</v>
      </c>
      <c r="AL133" s="9">
        <v>2.210169567619078</v>
      </c>
      <c r="AM133" s="9">
        <v>2.323137630374692</v>
      </c>
      <c r="AN133" s="9">
        <v>2.888268221906572</v>
      </c>
      <c r="AO133" s="9">
        <v>2.342530015978681</v>
      </c>
      <c r="AP133" s="9">
        <v>2.123937488467267</v>
      </c>
      <c r="AQ133" s="9">
        <v>2.458394028812168</v>
      </c>
      <c r="AR133" s="9">
        <v>2.440929977355864</v>
      </c>
      <c r="AS133" s="9">
        <v>2.614045082849167</v>
      </c>
      <c r="AT133" s="9">
        <v>2.229650051652255</v>
      </c>
      <c r="AU133" s="9">
        <v>2.533678849225699</v>
      </c>
      <c r="AV133" s="9">
        <v>2.512224915873466</v>
      </c>
      <c r="AW133" s="9">
        <v>2.717553668001536</v>
      </c>
    </row>
    <row r="134" ht="15.0" customHeight="1">
      <c r="A134" s="5" t="s">
        <v>332</v>
      </c>
      <c r="B134" s="5" t="s">
        <v>333</v>
      </c>
      <c r="C134" s="5" t="s">
        <v>64</v>
      </c>
      <c r="D134" s="5" t="s">
        <v>83</v>
      </c>
      <c r="E134" s="5">
        <v>4.5</v>
      </c>
      <c r="F134" s="6">
        <v>0.1935483871</v>
      </c>
      <c r="G134" s="5">
        <v>74.0</v>
      </c>
      <c r="H134" s="5">
        <v>468.0</v>
      </c>
      <c r="I134" s="5" t="b">
        <v>0</v>
      </c>
      <c r="J134" s="5" t="b">
        <v>0</v>
      </c>
      <c r="K134" s="7">
        <v>27.419354838896</v>
      </c>
      <c r="L134" s="8">
        <v>0.08488774128217257</v>
      </c>
      <c r="M134" s="9">
        <f t="shared" si="1"/>
        <v>1.480876186</v>
      </c>
      <c r="N134" s="7">
        <f t="shared" si="2"/>
        <v>50.34979033</v>
      </c>
      <c r="O134" s="9">
        <f t="shared" si="3"/>
        <v>11.18884229</v>
      </c>
      <c r="P134" s="9">
        <v>1.621545776855764</v>
      </c>
      <c r="Q134" s="9">
        <v>1.483870833157389</v>
      </c>
      <c r="R134" s="9">
        <v>1.583922274944198</v>
      </c>
      <c r="S134" s="9">
        <v>1.496043985677563</v>
      </c>
      <c r="T134" s="9">
        <v>1.417838564715437</v>
      </c>
      <c r="U134" s="9">
        <v>1.473048827743322</v>
      </c>
      <c r="V134" s="9">
        <v>1.659142279756168</v>
      </c>
      <c r="W134" s="9">
        <v>1.382879045690433</v>
      </c>
      <c r="X134" s="9">
        <v>1.605751321127852</v>
      </c>
      <c r="Y134" s="9">
        <v>1.494276530248998</v>
      </c>
      <c r="Z134" s="9">
        <v>1.411929134855569</v>
      </c>
      <c r="AA134" s="9">
        <v>1.383830670315126</v>
      </c>
      <c r="AB134" s="9">
        <v>1.43021503848102</v>
      </c>
      <c r="AC134" s="9">
        <v>1.403325380722225</v>
      </c>
      <c r="AD134" s="9">
        <v>1.43465325290496</v>
      </c>
      <c r="AE134" s="9">
        <v>1.363232249766392</v>
      </c>
      <c r="AF134" s="9">
        <v>1.574921914242093</v>
      </c>
      <c r="AG134" s="9">
        <v>1.601531033746606</v>
      </c>
      <c r="AH134" s="9">
        <v>1.488086174142322</v>
      </c>
      <c r="AI134" s="9">
        <v>1.615935148178848</v>
      </c>
      <c r="AJ134" s="9">
        <v>1.39246707292638</v>
      </c>
      <c r="AK134" s="9">
        <v>1.33503819864635</v>
      </c>
      <c r="AL134" s="9">
        <v>1.550426434136572</v>
      </c>
      <c r="AM134" s="9">
        <v>1.455364912476613</v>
      </c>
      <c r="AN134" s="9">
        <v>1.476219586563908</v>
      </c>
      <c r="AO134" s="9">
        <v>1.459819129798956</v>
      </c>
      <c r="AP134" s="9">
        <v>1.481514843648238</v>
      </c>
      <c r="AQ134" s="9">
        <v>1.516332933764516</v>
      </c>
      <c r="AR134" s="9">
        <v>1.52018058004286</v>
      </c>
      <c r="AS134" s="9">
        <v>1.324134247800311</v>
      </c>
      <c r="AT134" s="9">
        <v>1.632137642558847</v>
      </c>
      <c r="AU134" s="9">
        <v>1.453057037432576</v>
      </c>
      <c r="AV134" s="9">
        <v>1.344336810284589</v>
      </c>
      <c r="AW134" s="9">
        <v>1.482781458241944</v>
      </c>
    </row>
    <row r="135" ht="15.0" customHeight="1">
      <c r="A135" s="5" t="s">
        <v>334</v>
      </c>
      <c r="B135" s="5" t="s">
        <v>335</v>
      </c>
      <c r="C135" s="5" t="s">
        <v>64</v>
      </c>
      <c r="D135" s="5" t="s">
        <v>52</v>
      </c>
      <c r="E135" s="5">
        <v>6.0</v>
      </c>
      <c r="F135" s="6"/>
      <c r="G135" s="5"/>
      <c r="H135" s="5">
        <v>1353.0</v>
      </c>
      <c r="I135" s="5" t="b">
        <v>0</v>
      </c>
      <c r="J135" s="5" t="b">
        <v>0</v>
      </c>
      <c r="K135" s="7">
        <v>22.95</v>
      </c>
      <c r="L135" s="8">
        <v>0.06333803569908125</v>
      </c>
      <c r="M135" s="9">
        <f t="shared" si="1"/>
        <v>1.266222422</v>
      </c>
      <c r="N135" s="7">
        <f t="shared" si="2"/>
        <v>43.05156235</v>
      </c>
      <c r="O135" s="9">
        <f t="shared" si="3"/>
        <v>7.175260391</v>
      </c>
      <c r="P135" s="9">
        <v>1.338294392668621</v>
      </c>
      <c r="Q135" s="9">
        <v>1.267756727370248</v>
      </c>
      <c r="R135" s="9">
        <v>1.319018016634613</v>
      </c>
      <c r="S135" s="9">
        <v>1.273993633920036</v>
      </c>
      <c r="T135" s="9">
        <v>1.233925138810058</v>
      </c>
      <c r="U135" s="9">
        <v>1.262212080136348</v>
      </c>
      <c r="V135" s="9">
        <v>1.357556935777322</v>
      </c>
      <c r="W135" s="9">
        <v>1.216013652625758</v>
      </c>
      <c r="X135" s="9">
        <v>1.330202113843025</v>
      </c>
      <c r="Y135" s="9">
        <v>1.273088079313651</v>
      </c>
      <c r="Z135" s="9">
        <v>1.230897446374805</v>
      </c>
      <c r="AA135" s="9">
        <v>1.216501216865575</v>
      </c>
      <c r="AB135" s="9">
        <v>1.240266216863908</v>
      </c>
      <c r="AC135" s="9">
        <v>1.226489318700557</v>
      </c>
      <c r="AD135" s="9">
        <v>1.242540133054818</v>
      </c>
      <c r="AE135" s="9">
        <v>1.205947629877918</v>
      </c>
      <c r="AF135" s="9">
        <v>1.314406687850193</v>
      </c>
      <c r="AG135" s="9">
        <v>1.328039852426645</v>
      </c>
      <c r="AH135" s="9">
        <v>1.269916454503786</v>
      </c>
      <c r="AI135" s="9">
        <v>1.335419790819553</v>
      </c>
      <c r="AJ135" s="9">
        <v>1.220926071965639</v>
      </c>
      <c r="AK135" s="9">
        <v>1.191502426648579</v>
      </c>
      <c r="AL135" s="9">
        <v>1.301856445005775</v>
      </c>
      <c r="AM135" s="9">
        <v>1.253151737980111</v>
      </c>
      <c r="AN135" s="9">
        <v>1.263836616296815</v>
      </c>
      <c r="AO135" s="9">
        <v>1.255433853245311</v>
      </c>
      <c r="AP135" s="9">
        <v>1.266549637721408</v>
      </c>
      <c r="AQ135" s="9">
        <v>1.28438866289894</v>
      </c>
      <c r="AR135" s="9">
        <v>1.286360001895548</v>
      </c>
      <c r="AS135" s="9">
        <v>1.18591579472743</v>
      </c>
      <c r="AT135" s="9">
        <v>1.343721127975564</v>
      </c>
      <c r="AU135" s="9">
        <v>1.251969299745283</v>
      </c>
      <c r="AV135" s="9">
        <v>1.196266564100596</v>
      </c>
      <c r="AW135" s="9">
        <v>1.267198586861119</v>
      </c>
    </row>
    <row r="136" ht="15.0" customHeight="1">
      <c r="A136" s="5" t="s">
        <v>336</v>
      </c>
      <c r="B136" s="5" t="s">
        <v>337</v>
      </c>
      <c r="C136" s="5" t="s">
        <v>100</v>
      </c>
      <c r="D136" s="5" t="s">
        <v>103</v>
      </c>
      <c r="E136" s="5">
        <v>4.5</v>
      </c>
      <c r="F136" s="6">
        <v>0.9117647059</v>
      </c>
      <c r="G136" s="5">
        <v>90.0</v>
      </c>
      <c r="H136" s="5">
        <v>3021.0</v>
      </c>
      <c r="I136" s="5" t="b">
        <v>1</v>
      </c>
      <c r="J136" s="5" t="b">
        <v>0</v>
      </c>
      <c r="K136" s="7">
        <v>82.058823531</v>
      </c>
      <c r="L136" s="8">
        <v>0.07756919176739167</v>
      </c>
      <c r="M136" s="9">
        <f t="shared" si="1"/>
        <v>3.775339723</v>
      </c>
      <c r="N136" s="7">
        <f t="shared" si="2"/>
        <v>128.3615506</v>
      </c>
      <c r="O136" s="9">
        <f t="shared" si="3"/>
        <v>28.52478902</v>
      </c>
      <c r="P136" s="9">
        <v>3.764683207305317</v>
      </c>
      <c r="Q136" s="9">
        <v>3.675942682454195</v>
      </c>
      <c r="R136" s="9">
        <v>3.682502350237797</v>
      </c>
      <c r="S136" s="9">
        <v>3.737959905600835</v>
      </c>
      <c r="T136" s="9">
        <v>3.740971957203764</v>
      </c>
      <c r="U136" s="9">
        <v>3.715343115503452</v>
      </c>
      <c r="V136" s="9">
        <v>3.678367210506885</v>
      </c>
      <c r="W136" s="9">
        <v>4.009323137342936</v>
      </c>
      <c r="X136" s="9">
        <v>3.889128257535803</v>
      </c>
      <c r="Y136" s="9">
        <v>3.699669506178834</v>
      </c>
      <c r="Z136" s="9">
        <v>4.005217582705411</v>
      </c>
      <c r="AA136" s="9">
        <v>3.828398501022962</v>
      </c>
      <c r="AB136" s="9">
        <v>3.703931016460757</v>
      </c>
      <c r="AC136" s="9">
        <v>3.748758870276335</v>
      </c>
      <c r="AD136" s="9">
        <v>3.764819107753014</v>
      </c>
      <c r="AE136" s="9">
        <v>3.881936911245373</v>
      </c>
      <c r="AF136" s="9">
        <v>3.667777287587697</v>
      </c>
      <c r="AG136" s="9">
        <v>3.79088967964592</v>
      </c>
      <c r="AH136" s="9">
        <v>3.824941385283463</v>
      </c>
      <c r="AI136" s="9">
        <v>3.669823566070509</v>
      </c>
      <c r="AJ136" s="9">
        <v>3.909495613031334</v>
      </c>
      <c r="AK136" s="9">
        <v>3.752786028904924</v>
      </c>
      <c r="AL136" s="9">
        <v>3.74240114901076</v>
      </c>
      <c r="AM136" s="9">
        <v>3.827641283261566</v>
      </c>
      <c r="AN136" s="9">
        <v>4.010472016448426</v>
      </c>
      <c r="AO136" s="9">
        <v>3.687506697766175</v>
      </c>
      <c r="AP136" s="9">
        <v>3.752901232339529</v>
      </c>
      <c r="AQ136" s="9">
        <v>3.74860846954153</v>
      </c>
      <c r="AR136" s="9">
        <v>3.687887975209457</v>
      </c>
      <c r="AS136" s="9">
        <v>3.799542513777659</v>
      </c>
      <c r="AT136" s="9">
        <v>3.676729632403903</v>
      </c>
      <c r="AU136" s="9">
        <v>3.868613404958898</v>
      </c>
      <c r="AV136" s="9">
        <v>3.680830302954399</v>
      </c>
      <c r="AW136" s="9">
        <v>3.735749030723497</v>
      </c>
    </row>
    <row r="137" ht="15.0" customHeight="1">
      <c r="A137" s="5" t="s">
        <v>338</v>
      </c>
      <c r="B137" s="5" t="s">
        <v>339</v>
      </c>
      <c r="C137" s="5" t="s">
        <v>59</v>
      </c>
      <c r="D137" s="5" t="s">
        <v>103</v>
      </c>
      <c r="E137" s="5">
        <v>5.0</v>
      </c>
      <c r="F137" s="6">
        <v>0.9166666667</v>
      </c>
      <c r="G137" s="5">
        <v>90.0</v>
      </c>
      <c r="H137" s="5">
        <v>1292.0</v>
      </c>
      <c r="I137" s="5" t="b">
        <v>1</v>
      </c>
      <c r="J137" s="5" t="b">
        <v>0</v>
      </c>
      <c r="K137" s="7">
        <v>82.500000003</v>
      </c>
      <c r="L137" s="8">
        <v>0.07052903311864951</v>
      </c>
      <c r="M137" s="9">
        <f t="shared" si="1"/>
        <v>3.906055434</v>
      </c>
      <c r="N137" s="7">
        <f t="shared" si="2"/>
        <v>132.8058847</v>
      </c>
      <c r="O137" s="9">
        <f t="shared" si="3"/>
        <v>26.56117695</v>
      </c>
      <c r="P137" s="9">
        <v>3.882746481564447</v>
      </c>
      <c r="Q137" s="9">
        <v>3.871800861572321</v>
      </c>
      <c r="R137" s="9">
        <v>0.0</v>
      </c>
      <c r="S137" s="9">
        <v>3.778292827163836</v>
      </c>
      <c r="T137" s="9">
        <v>3.743449095487884</v>
      </c>
      <c r="U137" s="9">
        <v>8.152595253422845</v>
      </c>
      <c r="V137" s="9">
        <v>4.080709539271868</v>
      </c>
      <c r="W137" s="9">
        <v>3.844571394215361</v>
      </c>
      <c r="X137" s="9">
        <v>3.720111677368141</v>
      </c>
      <c r="Y137" s="9">
        <v>3.850134373982752</v>
      </c>
      <c r="Z137" s="9">
        <v>3.864340556705201</v>
      </c>
      <c r="AA137" s="9">
        <v>3.713491246119291</v>
      </c>
      <c r="AB137" s="9">
        <v>4.252758633343309</v>
      </c>
      <c r="AC137" s="9">
        <v>3.693519532181802</v>
      </c>
      <c r="AD137" s="9">
        <v>3.937558574300048</v>
      </c>
      <c r="AE137" s="9">
        <v>4.258164524690841</v>
      </c>
      <c r="AF137" s="9">
        <v>3.871594250867856</v>
      </c>
      <c r="AG137" s="9">
        <v>3.998646409268654</v>
      </c>
      <c r="AH137" s="9">
        <v>3.852760337823362</v>
      </c>
      <c r="AI137" s="9">
        <v>3.951954249444606</v>
      </c>
      <c r="AJ137" s="9">
        <v>3.730645903189271</v>
      </c>
      <c r="AK137" s="9">
        <v>3.864068460812629</v>
      </c>
      <c r="AL137" s="9">
        <v>4.091340491168217</v>
      </c>
      <c r="AM137" s="9">
        <v>3.801355999267506</v>
      </c>
      <c r="AN137" s="9">
        <v>3.993152289940333</v>
      </c>
      <c r="AO137" s="9">
        <v>4.106933853157282</v>
      </c>
      <c r="AP137" s="9">
        <v>3.715686530426705</v>
      </c>
      <c r="AQ137" s="9">
        <v>3.840462544197472</v>
      </c>
      <c r="AR137" s="9">
        <v>3.769375388896838</v>
      </c>
      <c r="AS137" s="9">
        <v>3.667955583202592</v>
      </c>
      <c r="AT137" s="9">
        <v>4.121001241368538</v>
      </c>
      <c r="AU137" s="9">
        <v>3.726478791159583</v>
      </c>
      <c r="AV137" s="9">
        <v>4.060782617614398</v>
      </c>
      <c r="AW137" s="9">
        <v>3.997445231320852</v>
      </c>
    </row>
    <row r="138" ht="15.0" customHeight="1">
      <c r="A138" s="5" t="s">
        <v>340</v>
      </c>
      <c r="B138" s="5" t="s">
        <v>341</v>
      </c>
      <c r="C138" s="5" t="s">
        <v>59</v>
      </c>
      <c r="D138" s="5" t="s">
        <v>52</v>
      </c>
      <c r="E138" s="5">
        <v>6.0</v>
      </c>
      <c r="F138" s="6">
        <v>0.3939393939</v>
      </c>
      <c r="G138" s="5">
        <v>81.0</v>
      </c>
      <c r="H138" s="5">
        <v>1601.0</v>
      </c>
      <c r="I138" s="5" t="b">
        <v>0</v>
      </c>
      <c r="J138" s="5" t="b">
        <v>0</v>
      </c>
      <c r="K138" s="7">
        <v>45.818181815895</v>
      </c>
      <c r="L138" s="8">
        <v>0.0830432801960923</v>
      </c>
      <c r="M138" s="9">
        <f t="shared" si="1"/>
        <v>1.407296932</v>
      </c>
      <c r="N138" s="7">
        <f t="shared" si="2"/>
        <v>47.8480957</v>
      </c>
      <c r="O138" s="9">
        <f t="shared" si="3"/>
        <v>7.974682616</v>
      </c>
      <c r="P138" s="9">
        <v>1.418703569026622</v>
      </c>
      <c r="Q138" s="9">
        <v>1.438742396094834</v>
      </c>
      <c r="R138" s="9">
        <v>0.0</v>
      </c>
      <c r="S138" s="9">
        <v>1.412096787357979</v>
      </c>
      <c r="T138" s="9">
        <v>1.364050668580544</v>
      </c>
      <c r="U138" s="9">
        <v>2.920485162088127</v>
      </c>
      <c r="V138" s="9">
        <v>1.491662405514186</v>
      </c>
      <c r="W138" s="9">
        <v>1.429667348364653</v>
      </c>
      <c r="X138" s="9">
        <v>1.332711327889887</v>
      </c>
      <c r="Y138" s="9">
        <v>1.367735389381953</v>
      </c>
      <c r="Z138" s="9">
        <v>1.384930746695856</v>
      </c>
      <c r="AA138" s="9">
        <v>1.275979643002627</v>
      </c>
      <c r="AB138" s="9">
        <v>1.484190072469541</v>
      </c>
      <c r="AC138" s="9">
        <v>1.28503238598936</v>
      </c>
      <c r="AD138" s="9">
        <v>1.407692674542192</v>
      </c>
      <c r="AE138" s="9">
        <v>1.506281654078707</v>
      </c>
      <c r="AF138" s="9">
        <v>1.435547980295137</v>
      </c>
      <c r="AG138" s="9">
        <v>1.408597101869953</v>
      </c>
      <c r="AH138" s="9">
        <v>1.41723618165839</v>
      </c>
      <c r="AI138" s="9">
        <v>1.522898413258111</v>
      </c>
      <c r="AJ138" s="9">
        <v>1.348869236809738</v>
      </c>
      <c r="AK138" s="9">
        <v>1.388628753518848</v>
      </c>
      <c r="AL138" s="9">
        <v>1.554112005722254</v>
      </c>
      <c r="AM138" s="9">
        <v>1.353775398849063</v>
      </c>
      <c r="AN138" s="9">
        <v>1.383014688937145</v>
      </c>
      <c r="AO138" s="9">
        <v>1.531692055059499</v>
      </c>
      <c r="AP138" s="9">
        <v>1.342051031072001</v>
      </c>
      <c r="AQ138" s="9">
        <v>1.341726176831757</v>
      </c>
      <c r="AR138" s="9">
        <v>1.325541162298208</v>
      </c>
      <c r="AS138" s="9">
        <v>1.292752334701804</v>
      </c>
      <c r="AT138" s="9">
        <v>1.509785446193329</v>
      </c>
      <c r="AU138" s="9">
        <v>1.308439818960068</v>
      </c>
      <c r="AV138" s="9">
        <v>1.463853289145498</v>
      </c>
      <c r="AW138" s="9">
        <v>1.399612392107604</v>
      </c>
    </row>
    <row r="139" ht="15.0" customHeight="1">
      <c r="A139" s="5" t="s">
        <v>342</v>
      </c>
      <c r="B139" s="5" t="s">
        <v>343</v>
      </c>
      <c r="C139" s="5" t="s">
        <v>67</v>
      </c>
      <c r="D139" s="5" t="s">
        <v>52</v>
      </c>
      <c r="E139" s="5">
        <v>6.5</v>
      </c>
      <c r="F139" s="6">
        <v>0.0625</v>
      </c>
      <c r="G139" s="5">
        <v>53.0</v>
      </c>
      <c r="H139" s="5">
        <v>1016.0</v>
      </c>
      <c r="I139" s="5" t="b">
        <v>0</v>
      </c>
      <c r="J139" s="5" t="b">
        <v>0</v>
      </c>
      <c r="K139" s="7">
        <v>24.828125</v>
      </c>
      <c r="L139" s="8">
        <v>0.08802144737062156</v>
      </c>
      <c r="M139" s="9">
        <f t="shared" si="1"/>
        <v>1.69222476</v>
      </c>
      <c r="N139" s="7">
        <f t="shared" si="2"/>
        <v>57.53564185</v>
      </c>
      <c r="O139" s="9">
        <f t="shared" si="3"/>
        <v>8.851637208</v>
      </c>
      <c r="P139" s="9">
        <v>1.849065220227572</v>
      </c>
      <c r="Q139" s="9">
        <v>1.520690227961837</v>
      </c>
      <c r="R139" s="9">
        <v>1.679453178242429</v>
      </c>
      <c r="S139" s="9">
        <v>1.993791170543073</v>
      </c>
      <c r="T139" s="9">
        <v>1.568975187997335</v>
      </c>
      <c r="U139" s="9">
        <v>1.919543176726312</v>
      </c>
      <c r="V139" s="9">
        <v>1.929184592578375</v>
      </c>
      <c r="W139" s="9">
        <v>1.436844274700975</v>
      </c>
      <c r="X139" s="9">
        <v>1.674004483253639</v>
      </c>
      <c r="Y139" s="9">
        <v>1.554190325860622</v>
      </c>
      <c r="Z139" s="9">
        <v>1.519054937289425</v>
      </c>
      <c r="AA139" s="9">
        <v>1.710482589224757</v>
      </c>
      <c r="AB139" s="9">
        <v>1.608024764186008</v>
      </c>
      <c r="AC139" s="9">
        <v>1.713519819768438</v>
      </c>
      <c r="AD139" s="9">
        <v>1.600398048292673</v>
      </c>
      <c r="AE139" s="9">
        <v>1.736212890596603</v>
      </c>
      <c r="AF139" s="9">
        <v>1.651270307312959</v>
      </c>
      <c r="AG139" s="9">
        <v>1.754996623336973</v>
      </c>
      <c r="AH139" s="9">
        <v>1.748384751484931</v>
      </c>
      <c r="AI139" s="9">
        <v>1.690729228977371</v>
      </c>
      <c r="AJ139" s="9">
        <v>1.579130069742051</v>
      </c>
      <c r="AK139" s="9">
        <v>1.53553119389201</v>
      </c>
      <c r="AL139" s="9">
        <v>1.902043085877645</v>
      </c>
      <c r="AM139" s="9">
        <v>1.554862716288721</v>
      </c>
      <c r="AN139" s="9">
        <v>1.418106708807572</v>
      </c>
      <c r="AO139" s="9">
        <v>1.80697170026875</v>
      </c>
      <c r="AP139" s="9">
        <v>1.864531618976183</v>
      </c>
      <c r="AQ139" s="9">
        <v>1.452823193787169</v>
      </c>
      <c r="AR139" s="9">
        <v>1.692601232487749</v>
      </c>
      <c r="AS139" s="9">
        <v>1.894790860146646</v>
      </c>
      <c r="AT139" s="9">
        <v>1.699844958232995</v>
      </c>
      <c r="AU139" s="9">
        <v>1.688552653280524</v>
      </c>
      <c r="AV139" s="9">
        <v>1.947385865158185</v>
      </c>
      <c r="AW139" s="9">
        <v>1.63965019336698</v>
      </c>
    </row>
    <row r="140" ht="15.0" customHeight="1">
      <c r="A140" s="5" t="s">
        <v>344</v>
      </c>
      <c r="B140" s="5" t="s">
        <v>345</v>
      </c>
      <c r="C140" s="5" t="s">
        <v>79</v>
      </c>
      <c r="D140" s="5" t="s">
        <v>83</v>
      </c>
      <c r="E140" s="5">
        <v>4.5</v>
      </c>
      <c r="F140" s="6">
        <v>0.32</v>
      </c>
      <c r="G140" s="5">
        <v>90.0</v>
      </c>
      <c r="H140" s="5">
        <v>892.0</v>
      </c>
      <c r="I140" s="5" t="b">
        <v>0</v>
      </c>
      <c r="J140" s="5" t="b">
        <v>0</v>
      </c>
      <c r="K140" s="7">
        <v>39.8432</v>
      </c>
      <c r="L140" s="8">
        <v>0.0749648742960509</v>
      </c>
      <c r="M140" s="9">
        <f t="shared" si="1"/>
        <v>1.296302914</v>
      </c>
      <c r="N140" s="7">
        <f t="shared" si="2"/>
        <v>44.07429909</v>
      </c>
      <c r="O140" s="9">
        <f t="shared" si="3"/>
        <v>9.794288686</v>
      </c>
      <c r="P140" s="9">
        <v>1.255624286179127</v>
      </c>
      <c r="Q140" s="9">
        <v>1.376019484173348</v>
      </c>
      <c r="R140" s="9">
        <v>0.0</v>
      </c>
      <c r="S140" s="9">
        <v>1.289040422564204</v>
      </c>
      <c r="T140" s="9">
        <v>2.615212304531604</v>
      </c>
      <c r="U140" s="9">
        <v>1.344737772985508</v>
      </c>
      <c r="V140" s="9">
        <v>1.265621788139659</v>
      </c>
      <c r="W140" s="9">
        <v>1.290773980181836</v>
      </c>
      <c r="X140" s="9">
        <v>1.294361570180648</v>
      </c>
      <c r="Y140" s="9">
        <v>1.229000105382656</v>
      </c>
      <c r="Z140" s="9">
        <v>1.281807313725548</v>
      </c>
      <c r="AA140" s="9">
        <v>1.293669070529377</v>
      </c>
      <c r="AB140" s="9">
        <v>1.367161050231691</v>
      </c>
      <c r="AC140" s="9">
        <v>1.251134260056465</v>
      </c>
      <c r="AD140" s="9">
        <v>1.312705259898493</v>
      </c>
      <c r="AE140" s="9">
        <v>1.331345292340566</v>
      </c>
      <c r="AF140" s="9">
        <v>1.213585494919782</v>
      </c>
      <c r="AG140" s="9">
        <v>1.361593218693612</v>
      </c>
      <c r="AH140" s="9">
        <v>1.240261936027612</v>
      </c>
      <c r="AI140" s="9">
        <v>1.314808894041989</v>
      </c>
      <c r="AJ140" s="9">
        <v>1.359285849463617</v>
      </c>
      <c r="AK140" s="9">
        <v>1.218669350220985</v>
      </c>
      <c r="AL140" s="9">
        <v>1.349658564738974</v>
      </c>
      <c r="AM140" s="9">
        <v>1.278110256523733</v>
      </c>
      <c r="AN140" s="9">
        <v>1.279372047340858</v>
      </c>
      <c r="AO140" s="9">
        <v>1.294957167099237</v>
      </c>
      <c r="AP140" s="9">
        <v>1.390783803118347</v>
      </c>
      <c r="AQ140" s="9">
        <v>1.239741651701176</v>
      </c>
      <c r="AR140" s="9">
        <v>1.297261831972485</v>
      </c>
      <c r="AS140" s="9">
        <v>1.308832658806464</v>
      </c>
      <c r="AT140" s="9">
        <v>1.268048305216062</v>
      </c>
      <c r="AU140" s="9">
        <v>1.300646302249729</v>
      </c>
      <c r="AV140" s="9">
        <v>1.25885516488328</v>
      </c>
      <c r="AW140" s="9">
        <v>1.301612627976593</v>
      </c>
    </row>
    <row r="141" ht="15.0" customHeight="1">
      <c r="A141" s="5" t="s">
        <v>346</v>
      </c>
      <c r="B141" s="5" t="s">
        <v>347</v>
      </c>
      <c r="C141" s="5" t="s">
        <v>124</v>
      </c>
      <c r="D141" s="5" t="s">
        <v>83</v>
      </c>
      <c r="E141" s="5">
        <v>5.0</v>
      </c>
      <c r="F141" s="6">
        <v>0.7</v>
      </c>
      <c r="G141" s="5">
        <v>87.0</v>
      </c>
      <c r="H141" s="5">
        <v>2046.0</v>
      </c>
      <c r="I141" s="5" t="b">
        <v>1</v>
      </c>
      <c r="J141" s="5" t="b">
        <v>0</v>
      </c>
      <c r="K141" s="7">
        <v>65.77199999999999</v>
      </c>
      <c r="L141" s="8">
        <v>0.06844448930265844</v>
      </c>
      <c r="M141" s="9">
        <f t="shared" si="1"/>
        <v>3.163609532</v>
      </c>
      <c r="N141" s="7">
        <f t="shared" si="2"/>
        <v>107.5627241</v>
      </c>
      <c r="O141" s="9">
        <f t="shared" si="3"/>
        <v>21.51254482</v>
      </c>
      <c r="P141" s="9">
        <v>2.640377824145913</v>
      </c>
      <c r="Q141" s="9">
        <v>3.103603610033405</v>
      </c>
      <c r="R141" s="9">
        <v>3.052686923923833</v>
      </c>
      <c r="S141" s="9">
        <v>2.752031852503299</v>
      </c>
      <c r="T141" s="9">
        <v>3.726183799302197</v>
      </c>
      <c r="U141" s="9">
        <v>3.106596527423444</v>
      </c>
      <c r="V141" s="9">
        <v>2.487257175544558</v>
      </c>
      <c r="W141" s="9">
        <v>3.968013960126134</v>
      </c>
      <c r="X141" s="9">
        <v>2.559856392836855</v>
      </c>
      <c r="Y141" s="9">
        <v>3.731398884870488</v>
      </c>
      <c r="Z141" s="9">
        <v>2.906560876143624</v>
      </c>
      <c r="AA141" s="9">
        <v>3.099990002806484</v>
      </c>
      <c r="AB141" s="9">
        <v>3.953917569582266</v>
      </c>
      <c r="AC141" s="9">
        <v>3.376432131284458</v>
      </c>
      <c r="AD141" s="9">
        <v>2.710496816627582</v>
      </c>
      <c r="AE141" s="9">
        <v>3.734132982916621</v>
      </c>
      <c r="AF141" s="9">
        <v>3.174000966760297</v>
      </c>
      <c r="AG141" s="9">
        <v>3.17953985415862</v>
      </c>
      <c r="AH141" s="9">
        <v>3.003398827706244</v>
      </c>
      <c r="AI141" s="9">
        <v>2.639484047228256</v>
      </c>
      <c r="AJ141" s="9">
        <v>3.645983280688833</v>
      </c>
      <c r="AK141" s="9">
        <v>3.401095932085694</v>
      </c>
      <c r="AL141" s="9">
        <v>3.923801966101486</v>
      </c>
      <c r="AM141" s="9">
        <v>3.186390693024555</v>
      </c>
      <c r="AN141" s="9">
        <v>2.363591451305688</v>
      </c>
      <c r="AO141" s="9">
        <v>3.107711207793455</v>
      </c>
      <c r="AP141" s="9">
        <v>3.582883611982999</v>
      </c>
      <c r="AQ141" s="9">
        <v>3.412256776729655</v>
      </c>
      <c r="AR141" s="9">
        <v>3.190178302605951</v>
      </c>
      <c r="AS141" s="9">
        <v>3.170379225142021</v>
      </c>
      <c r="AT141" s="9">
        <v>2.693866325968716</v>
      </c>
      <c r="AU141" s="9">
        <v>2.913929249031213</v>
      </c>
      <c r="AV141" s="9">
        <v>3.431571489997332</v>
      </c>
      <c r="AW141" s="9">
        <v>2.633123550091135</v>
      </c>
    </row>
    <row r="142" ht="15.0" customHeight="1">
      <c r="A142" s="5" t="s">
        <v>348</v>
      </c>
      <c r="B142" s="5" t="s">
        <v>349</v>
      </c>
      <c r="C142" s="5" t="s">
        <v>55</v>
      </c>
      <c r="D142" s="5" t="s">
        <v>52</v>
      </c>
      <c r="E142" s="5">
        <v>8.0</v>
      </c>
      <c r="F142" s="6">
        <v>0.9375</v>
      </c>
      <c r="G142" s="10">
        <v>84.0</v>
      </c>
      <c r="H142" s="5">
        <v>2729.0</v>
      </c>
      <c r="I142" s="5" t="b">
        <v>1</v>
      </c>
      <c r="J142" s="5" t="b">
        <v>0</v>
      </c>
      <c r="K142" s="7">
        <v>80.184375</v>
      </c>
      <c r="L142" s="8">
        <v>0.05599472829728888</v>
      </c>
      <c r="M142" s="9">
        <f t="shared" si="1"/>
        <v>2.862889285</v>
      </c>
      <c r="N142" s="7">
        <f t="shared" si="2"/>
        <v>97.33823568</v>
      </c>
      <c r="O142" s="9">
        <f t="shared" si="3"/>
        <v>12.16727946</v>
      </c>
      <c r="P142" s="9">
        <v>2.752535215034107</v>
      </c>
      <c r="Q142" s="9">
        <v>3.271941318755059</v>
      </c>
      <c r="R142" s="9">
        <v>2.901244033222453</v>
      </c>
      <c r="S142" s="9">
        <v>3.188053598997982</v>
      </c>
      <c r="T142" s="9">
        <v>2.5909054321881</v>
      </c>
      <c r="U142" s="9">
        <v>2.88063433065958</v>
      </c>
      <c r="V142" s="9">
        <v>2.887972065938702</v>
      </c>
      <c r="W142" s="9">
        <v>2.797894443871843</v>
      </c>
      <c r="X142" s="9">
        <v>2.796167837246033</v>
      </c>
      <c r="Y142" s="9">
        <v>2.421407103909597</v>
      </c>
      <c r="Z142" s="9">
        <v>3.190504480080853</v>
      </c>
      <c r="AA142" s="9">
        <v>2.620600994326788</v>
      </c>
      <c r="AB142" s="9">
        <v>3.134829952282633</v>
      </c>
      <c r="AC142" s="9">
        <v>2.86085087782735</v>
      </c>
      <c r="AD142" s="9">
        <v>2.920888565976559</v>
      </c>
      <c r="AE142" s="9">
        <v>2.575744913220084</v>
      </c>
      <c r="AF142" s="9">
        <v>2.691134413286861</v>
      </c>
      <c r="AG142" s="9">
        <v>2.664851448242459</v>
      </c>
      <c r="AH142" s="9">
        <v>2.805572833728514</v>
      </c>
      <c r="AI142" s="9">
        <v>3.231052236838934</v>
      </c>
      <c r="AJ142" s="9">
        <v>2.530721791589744</v>
      </c>
      <c r="AK142" s="9">
        <v>2.880371000121709</v>
      </c>
      <c r="AL142" s="9">
        <v>3.13996761323295</v>
      </c>
      <c r="AM142" s="9">
        <v>2.580670013989602</v>
      </c>
      <c r="AN142" s="9">
        <v>2.916608998661645</v>
      </c>
      <c r="AO142" s="9">
        <v>2.909706784766538</v>
      </c>
      <c r="AP142" s="9">
        <v>3.236928095374759</v>
      </c>
      <c r="AQ142" s="9">
        <v>2.851661515742459</v>
      </c>
      <c r="AR142" s="9">
        <v>2.863940176857314</v>
      </c>
      <c r="AS142" s="9">
        <v>3.067021389537786</v>
      </c>
      <c r="AT142" s="9">
        <v>3.262857975449556</v>
      </c>
      <c r="AU142" s="9">
        <v>2.605407602663929</v>
      </c>
      <c r="AV142" s="9">
        <v>2.448367022275932</v>
      </c>
      <c r="AW142" s="9">
        <v>2.859219602350632</v>
      </c>
    </row>
    <row r="143" ht="15.0" customHeight="1">
      <c r="A143" s="5" t="s">
        <v>350</v>
      </c>
      <c r="B143" s="5" t="s">
        <v>351</v>
      </c>
      <c r="C143" s="5" t="s">
        <v>92</v>
      </c>
      <c r="D143" s="5" t="s">
        <v>103</v>
      </c>
      <c r="E143" s="5">
        <v>4.5</v>
      </c>
      <c r="F143" s="6">
        <v>0.303030303</v>
      </c>
      <c r="G143" s="10">
        <v>90.0</v>
      </c>
      <c r="H143" s="5">
        <v>982.0</v>
      </c>
      <c r="I143" s="5" t="b">
        <v>0</v>
      </c>
      <c r="J143" s="5" t="b">
        <v>0</v>
      </c>
      <c r="K143" s="7">
        <v>27.27272727</v>
      </c>
      <c r="L143" s="8">
        <v>0.06632601189039518</v>
      </c>
      <c r="M143" s="9">
        <f t="shared" si="1"/>
        <v>1.066326058</v>
      </c>
      <c r="N143" s="7">
        <f t="shared" si="2"/>
        <v>36.25508596</v>
      </c>
      <c r="O143" s="9">
        <f t="shared" si="3"/>
        <v>8.056685769</v>
      </c>
      <c r="P143" s="9">
        <v>1.06632605760991</v>
      </c>
      <c r="Q143" s="9">
        <v>1.06632605760991</v>
      </c>
      <c r="R143" s="9">
        <v>1.06632605760991</v>
      </c>
      <c r="S143" s="9">
        <v>1.06632605760991</v>
      </c>
      <c r="T143" s="9">
        <v>1.06632605760991</v>
      </c>
      <c r="U143" s="9">
        <v>1.06632605760991</v>
      </c>
      <c r="V143" s="9">
        <v>1.06632605760991</v>
      </c>
      <c r="W143" s="9">
        <v>1.06632605760991</v>
      </c>
      <c r="X143" s="9">
        <v>1.06632605760991</v>
      </c>
      <c r="Y143" s="9">
        <v>1.06632605760991</v>
      </c>
      <c r="Z143" s="9">
        <v>1.06632605760991</v>
      </c>
      <c r="AA143" s="9">
        <v>1.06632605760991</v>
      </c>
      <c r="AB143" s="9">
        <v>1.06632605760991</v>
      </c>
      <c r="AC143" s="9">
        <v>1.06632605760991</v>
      </c>
      <c r="AD143" s="9">
        <v>1.06632605760991</v>
      </c>
      <c r="AE143" s="9">
        <v>1.06632605760991</v>
      </c>
      <c r="AF143" s="9">
        <v>1.06632605760991</v>
      </c>
      <c r="AG143" s="9">
        <v>1.06632605760991</v>
      </c>
      <c r="AH143" s="9">
        <v>1.06632605760991</v>
      </c>
      <c r="AI143" s="9">
        <v>1.06632605760991</v>
      </c>
      <c r="AJ143" s="9">
        <v>1.06632605760991</v>
      </c>
      <c r="AK143" s="9">
        <v>1.06632605760991</v>
      </c>
      <c r="AL143" s="9">
        <v>1.06632605760991</v>
      </c>
      <c r="AM143" s="9">
        <v>1.06632605760991</v>
      </c>
      <c r="AN143" s="9">
        <v>1.06632605760991</v>
      </c>
      <c r="AO143" s="9">
        <v>1.06632605760991</v>
      </c>
      <c r="AP143" s="9">
        <v>1.06632605760991</v>
      </c>
      <c r="AQ143" s="9">
        <v>1.06632605760991</v>
      </c>
      <c r="AR143" s="9">
        <v>1.06632605760991</v>
      </c>
      <c r="AS143" s="9">
        <v>1.06632605760991</v>
      </c>
      <c r="AT143" s="9">
        <v>1.06632605760991</v>
      </c>
      <c r="AU143" s="9">
        <v>1.06632605760991</v>
      </c>
      <c r="AV143" s="9">
        <v>1.06632605760991</v>
      </c>
      <c r="AW143" s="9">
        <v>1.06632605760991</v>
      </c>
    </row>
    <row r="144" ht="15.0" customHeight="1">
      <c r="A144" s="5" t="s">
        <v>352</v>
      </c>
      <c r="B144" s="5" t="s">
        <v>353</v>
      </c>
      <c r="C144" s="5" t="s">
        <v>131</v>
      </c>
      <c r="D144" s="5" t="s">
        <v>56</v>
      </c>
      <c r="E144" s="5">
        <v>6.0</v>
      </c>
      <c r="F144" s="6">
        <v>0.5714285714</v>
      </c>
      <c r="G144" s="5">
        <v>66.0</v>
      </c>
      <c r="H144" s="5">
        <v>681.0</v>
      </c>
      <c r="I144" s="5" t="b">
        <v>1</v>
      </c>
      <c r="J144" s="5" t="b">
        <v>0</v>
      </c>
      <c r="K144" s="7">
        <v>47.991428570228</v>
      </c>
      <c r="L144" s="8">
        <v>0.1065855149700006</v>
      </c>
      <c r="M144" s="9">
        <f t="shared" si="1"/>
        <v>2.13065092</v>
      </c>
      <c r="N144" s="7">
        <f t="shared" si="2"/>
        <v>72.44213128</v>
      </c>
      <c r="O144" s="9">
        <f t="shared" si="3"/>
        <v>12.07368855</v>
      </c>
      <c r="P144" s="9">
        <v>2.485998143253449</v>
      </c>
      <c r="Q144" s="9">
        <v>1.786908041681198</v>
      </c>
      <c r="R144" s="9">
        <v>2.383925315740114</v>
      </c>
      <c r="S144" s="9">
        <v>1.857076771153155</v>
      </c>
      <c r="T144" s="9">
        <v>1.908341663625673</v>
      </c>
      <c r="U144" s="9">
        <v>2.183216871661609</v>
      </c>
      <c r="V144" s="9">
        <v>1.957833486033348</v>
      </c>
      <c r="W144" s="9">
        <v>2.32296150782575</v>
      </c>
      <c r="X144" s="9">
        <v>2.187615675554412</v>
      </c>
      <c r="Y144" s="9">
        <v>2.499961751538114</v>
      </c>
      <c r="Z144" s="9">
        <v>2.130385836203456</v>
      </c>
      <c r="AA144" s="9">
        <v>2.097460057211944</v>
      </c>
      <c r="AB144" s="9">
        <v>2.460652860225903</v>
      </c>
      <c r="AC144" s="9">
        <v>1.810050220211356</v>
      </c>
      <c r="AD144" s="9">
        <v>1.956859666762776</v>
      </c>
      <c r="AE144" s="9">
        <v>1.978272499337118</v>
      </c>
      <c r="AF144" s="9">
        <v>2.151455868928021</v>
      </c>
      <c r="AG144" s="9">
        <v>1.929835751008143</v>
      </c>
      <c r="AH144" s="9">
        <v>2.086374499873268</v>
      </c>
      <c r="AI144" s="9">
        <v>2.450149502539286</v>
      </c>
      <c r="AJ144" s="9">
        <v>2.08063071162054</v>
      </c>
      <c r="AK144" s="9">
        <v>2.526322552118297</v>
      </c>
      <c r="AL144" s="9">
        <v>1.905973281353661</v>
      </c>
      <c r="AM144" s="9">
        <v>2.167810450600123</v>
      </c>
      <c r="AN144" s="9">
        <v>2.406325213951515</v>
      </c>
      <c r="AO144" s="9">
        <v>1.992979757382621</v>
      </c>
      <c r="AP144" s="9">
        <v>1.759770530514975</v>
      </c>
      <c r="AQ144" s="9">
        <v>2.220481922242943</v>
      </c>
      <c r="AR144" s="9">
        <v>2.034827780630589</v>
      </c>
      <c r="AS144" s="9">
        <v>2.154608191252774</v>
      </c>
      <c r="AT144" s="9">
        <v>2.023782050950734</v>
      </c>
      <c r="AU144" s="9">
        <v>2.138277150472385</v>
      </c>
      <c r="AV144" s="9">
        <v>2.247686296593647</v>
      </c>
      <c r="AW144" s="9">
        <v>2.157319403395007</v>
      </c>
    </row>
    <row r="145" ht="15.0" customHeight="1">
      <c r="A145" s="5" t="s">
        <v>354</v>
      </c>
      <c r="B145" s="5" t="s">
        <v>355</v>
      </c>
      <c r="C145" s="5" t="s">
        <v>100</v>
      </c>
      <c r="D145" s="5" t="s">
        <v>83</v>
      </c>
      <c r="E145" s="5">
        <v>4.5</v>
      </c>
      <c r="F145" s="6">
        <v>0.9375</v>
      </c>
      <c r="G145" s="5">
        <v>87.0</v>
      </c>
      <c r="H145" s="5">
        <v>2901.0</v>
      </c>
      <c r="I145" s="5" t="b">
        <v>1</v>
      </c>
      <c r="J145" s="5" t="b">
        <v>0</v>
      </c>
      <c r="K145" s="7">
        <v>82.5775</v>
      </c>
      <c r="L145" s="8">
        <v>0.05711036275172952</v>
      </c>
      <c r="M145" s="9">
        <f t="shared" si="1"/>
        <v>2.911574167</v>
      </c>
      <c r="N145" s="7">
        <f t="shared" si="2"/>
        <v>98.99352167</v>
      </c>
      <c r="O145" s="9">
        <f t="shared" si="3"/>
        <v>21.99856037</v>
      </c>
      <c r="P145" s="9">
        <v>2.934625001033937</v>
      </c>
      <c r="Q145" s="9">
        <v>2.435456045900485</v>
      </c>
      <c r="R145" s="9">
        <v>2.547771150129101</v>
      </c>
      <c r="S145" s="9">
        <v>2.866321550315338</v>
      </c>
      <c r="T145" s="9">
        <v>2.816885351884449</v>
      </c>
      <c r="U145" s="9">
        <v>2.706756985150223</v>
      </c>
      <c r="V145" s="9">
        <v>2.506856105392731</v>
      </c>
      <c r="W145" s="9">
        <v>3.632427418373036</v>
      </c>
      <c r="X145" s="9">
        <v>3.418239416686121</v>
      </c>
      <c r="Y145" s="9">
        <v>2.612214285048083</v>
      </c>
      <c r="Z145" s="9">
        <v>3.6027634779547</v>
      </c>
      <c r="AA145" s="9">
        <v>3.123449490688471</v>
      </c>
      <c r="AB145" s="9">
        <v>2.715371225666798</v>
      </c>
      <c r="AC145" s="9">
        <v>2.860669188499674</v>
      </c>
      <c r="AD145" s="9">
        <v>2.930792829024048</v>
      </c>
      <c r="AE145" s="9">
        <v>3.340354079388336</v>
      </c>
      <c r="AF145" s="9">
        <v>2.322680206463839</v>
      </c>
      <c r="AG145" s="9">
        <v>3.016641446412918</v>
      </c>
      <c r="AH145" s="9">
        <v>3.089249230595645</v>
      </c>
      <c r="AI145" s="9">
        <v>2.392378757733468</v>
      </c>
      <c r="AJ145" s="9">
        <v>3.422797656584309</v>
      </c>
      <c r="AK145" s="9">
        <v>2.923507664144673</v>
      </c>
      <c r="AL145" s="9">
        <v>2.87000510849867</v>
      </c>
      <c r="AM145" s="9">
        <v>3.112680595308692</v>
      </c>
      <c r="AN145" s="9">
        <v>3.646332201624193</v>
      </c>
      <c r="AO145" s="9">
        <v>2.551999623753116</v>
      </c>
      <c r="AP145" s="9">
        <v>2.926998478323074</v>
      </c>
      <c r="AQ145" s="9">
        <v>2.863746380683555</v>
      </c>
      <c r="AR145" s="9">
        <v>2.592183432075001</v>
      </c>
      <c r="AS145" s="9">
        <v>3.153918907204611</v>
      </c>
      <c r="AT145" s="9">
        <v>2.505078724545393</v>
      </c>
      <c r="AU145" s="9">
        <v>3.280812382121946</v>
      </c>
      <c r="AV145" s="9">
        <v>2.498619525801186</v>
      </c>
      <c r="AW145" s="9">
        <v>2.772937747030775</v>
      </c>
    </row>
    <row r="146" ht="15.0" customHeight="1">
      <c r="A146" s="5" t="s">
        <v>356</v>
      </c>
      <c r="B146" s="5" t="s">
        <v>357</v>
      </c>
      <c r="C146" s="5" t="s">
        <v>51</v>
      </c>
      <c r="D146" s="5" t="s">
        <v>103</v>
      </c>
      <c r="E146" s="5">
        <v>5.5</v>
      </c>
      <c r="F146" s="6">
        <v>0.96875</v>
      </c>
      <c r="G146" s="10">
        <v>90.0</v>
      </c>
      <c r="H146" s="5">
        <v>3010.0</v>
      </c>
      <c r="I146" s="5" t="b">
        <v>1</v>
      </c>
      <c r="J146" s="5" t="b">
        <v>0</v>
      </c>
      <c r="K146" s="7">
        <v>87.1875</v>
      </c>
      <c r="L146" s="8">
        <v>0.08075630361523554</v>
      </c>
      <c r="M146" s="9">
        <f t="shared" si="1"/>
        <v>4.193328874</v>
      </c>
      <c r="N146" s="7">
        <f t="shared" si="2"/>
        <v>142.5731817</v>
      </c>
      <c r="O146" s="9">
        <f t="shared" si="3"/>
        <v>25.92239667</v>
      </c>
      <c r="P146" s="9">
        <v>4.428452030884126</v>
      </c>
      <c r="Q146" s="9">
        <v>4.14855136445094</v>
      </c>
      <c r="R146" s="9">
        <v>4.138432586552464</v>
      </c>
      <c r="S146" s="9">
        <v>4.028506186531782</v>
      </c>
      <c r="T146" s="9">
        <v>3.992206550469457</v>
      </c>
      <c r="U146" s="9">
        <v>4.363840260846533</v>
      </c>
      <c r="V146" s="9">
        <v>3.944418281751636</v>
      </c>
      <c r="W146" s="9">
        <v>4.162066169192477</v>
      </c>
      <c r="X146" s="9">
        <v>4.286988015604019</v>
      </c>
      <c r="Y146" s="9">
        <v>4.071606013097839</v>
      </c>
      <c r="Z146" s="9">
        <v>4.564682781746937</v>
      </c>
      <c r="AA146" s="9">
        <v>4.29302255047082</v>
      </c>
      <c r="AB146" s="9">
        <v>3.95419813723846</v>
      </c>
      <c r="AC146" s="9">
        <v>4.403178194053528</v>
      </c>
      <c r="AD146" s="9">
        <v>3.96741306293934</v>
      </c>
      <c r="AE146" s="9">
        <v>4.257278736638171</v>
      </c>
      <c r="AF146" s="9">
        <v>4.416579841498521</v>
      </c>
      <c r="AG146" s="9">
        <v>3.911844745339891</v>
      </c>
      <c r="AH146" s="9">
        <v>4.182047247572529</v>
      </c>
      <c r="AI146" s="9">
        <v>4.554747924138015</v>
      </c>
      <c r="AJ146" s="9">
        <v>4.295125617044945</v>
      </c>
      <c r="AK146" s="9">
        <v>4.11702595150795</v>
      </c>
      <c r="AL146" s="9">
        <v>4.562080883812174</v>
      </c>
      <c r="AM146" s="9">
        <v>4.130678286213588</v>
      </c>
      <c r="AN146" s="9">
        <v>4.230937375594377</v>
      </c>
      <c r="AO146" s="9">
        <v>4.048328408701497</v>
      </c>
      <c r="AP146" s="9">
        <v>3.960138630261599</v>
      </c>
      <c r="AQ146" s="9">
        <v>4.148504482116311</v>
      </c>
      <c r="AR146" s="9">
        <v>4.172367902257518</v>
      </c>
      <c r="AS146" s="9">
        <v>4.182206352140524</v>
      </c>
      <c r="AT146" s="9">
        <v>4.161528023530206</v>
      </c>
      <c r="AU146" s="9">
        <v>4.386548954746291</v>
      </c>
      <c r="AV146" s="9">
        <v>4.130212405609432</v>
      </c>
      <c r="AW146" s="9">
        <v>3.977437753373271</v>
      </c>
    </row>
    <row r="147" ht="15.0" customHeight="1">
      <c r="A147" s="5" t="s">
        <v>358</v>
      </c>
      <c r="B147" s="5" t="s">
        <v>359</v>
      </c>
      <c r="C147" s="5" t="s">
        <v>51</v>
      </c>
      <c r="D147" s="5" t="s">
        <v>83</v>
      </c>
      <c r="E147" s="5">
        <v>6.5</v>
      </c>
      <c r="F147" s="6">
        <v>0.962962963</v>
      </c>
      <c r="G147" s="5">
        <v>83.0</v>
      </c>
      <c r="H147" s="5">
        <v>2362.0</v>
      </c>
      <c r="I147" s="5" t="b">
        <v>1</v>
      </c>
      <c r="J147" s="5" t="b">
        <v>0</v>
      </c>
      <c r="K147" s="7">
        <v>80.52740740988</v>
      </c>
      <c r="L147" s="8">
        <v>0.08003480494636074</v>
      </c>
      <c r="M147" s="9">
        <f t="shared" si="1"/>
        <v>3.677642893</v>
      </c>
      <c r="N147" s="7">
        <f t="shared" si="2"/>
        <v>125.0398584</v>
      </c>
      <c r="O147" s="9">
        <f t="shared" si="3"/>
        <v>19.23690129</v>
      </c>
      <c r="P147" s="9">
        <v>0.0</v>
      </c>
      <c r="Q147" s="9">
        <v>3.717207947688811</v>
      </c>
      <c r="R147" s="9">
        <v>3.729168564997515</v>
      </c>
      <c r="S147" s="9">
        <v>3.35954232907424</v>
      </c>
      <c r="T147" s="9">
        <v>3.265726544944754</v>
      </c>
      <c r="U147" s="9">
        <v>4.23968303330484</v>
      </c>
      <c r="V147" s="9">
        <v>3.081169662934539</v>
      </c>
      <c r="W147" s="9">
        <v>3.807420041833319</v>
      </c>
      <c r="X147" s="9">
        <v>3.995712726857913</v>
      </c>
      <c r="Y147" s="9">
        <v>3.498537193422308</v>
      </c>
      <c r="Z147" s="9">
        <v>4.647922714438796</v>
      </c>
      <c r="AA147" s="9">
        <v>4.027798672579176</v>
      </c>
      <c r="AB147" s="9">
        <v>3.184287881691534</v>
      </c>
      <c r="AC147" s="9">
        <v>4.422781270014506</v>
      </c>
      <c r="AD147" s="9">
        <v>3.181114875241442</v>
      </c>
      <c r="AE147" s="9">
        <v>4.109270028847519</v>
      </c>
      <c r="AF147" s="9">
        <v>4.41842106616804</v>
      </c>
      <c r="AG147" s="9">
        <v>3.000577759154153</v>
      </c>
      <c r="AH147" s="9">
        <v>3.806432466163754</v>
      </c>
      <c r="AI147" s="9">
        <v>4.589057781847622</v>
      </c>
      <c r="AJ147" s="9">
        <v>4.042922350872588</v>
      </c>
      <c r="AK147" s="9">
        <v>3.590126159379924</v>
      </c>
      <c r="AL147" s="9">
        <v>4.628660303678447</v>
      </c>
      <c r="AM147" s="9">
        <v>3.652228648119776</v>
      </c>
      <c r="AN147" s="9">
        <v>3.914998859190348</v>
      </c>
      <c r="AO147" s="9">
        <v>3.510974053050546</v>
      </c>
      <c r="AP147" s="9">
        <v>3.189645290475214</v>
      </c>
      <c r="AQ147" s="9">
        <v>3.712643655698238</v>
      </c>
      <c r="AR147" s="9">
        <v>3.805586144433361</v>
      </c>
      <c r="AS147" s="9">
        <v>3.812105829968729</v>
      </c>
      <c r="AT147" s="9">
        <v>3.80238280616893</v>
      </c>
      <c r="AU147" s="9">
        <v>4.31526553662596</v>
      </c>
      <c r="AV147" s="9">
        <v>3.725611555592361</v>
      </c>
      <c r="AW147" s="9">
        <v>3.254874615395562</v>
      </c>
    </row>
    <row r="148" ht="15.0" customHeight="1">
      <c r="A148" s="5" t="s">
        <v>360</v>
      </c>
      <c r="B148" s="5" t="s">
        <v>361</v>
      </c>
      <c r="C148" s="5" t="s">
        <v>51</v>
      </c>
      <c r="D148" s="5" t="s">
        <v>52</v>
      </c>
      <c r="E148" s="5">
        <v>9.0</v>
      </c>
      <c r="F148" s="6">
        <v>1.0</v>
      </c>
      <c r="G148" s="5">
        <v>63.0</v>
      </c>
      <c r="H148" s="5">
        <v>396.0</v>
      </c>
      <c r="I148" s="5" t="b">
        <v>1</v>
      </c>
      <c r="J148" s="5" t="b">
        <v>0</v>
      </c>
      <c r="K148" s="7">
        <v>63.0</v>
      </c>
      <c r="L148" s="8">
        <v>0.08526075336036648</v>
      </c>
      <c r="M148" s="9">
        <f t="shared" si="1"/>
        <v>3.820739454</v>
      </c>
      <c r="N148" s="7">
        <f t="shared" si="2"/>
        <v>129.9051414</v>
      </c>
      <c r="O148" s="9">
        <f t="shared" si="3"/>
        <v>14.4339046</v>
      </c>
      <c r="P148" s="9">
        <v>4.497114681599586</v>
      </c>
      <c r="Q148" s="9">
        <v>3.688970045181005</v>
      </c>
      <c r="R148" s="9">
        <v>3.841597323213607</v>
      </c>
      <c r="S148" s="9">
        <v>3.269160076448886</v>
      </c>
      <c r="T148" s="9">
        <v>3.241460451902588</v>
      </c>
      <c r="U148" s="9">
        <v>4.213660428484459</v>
      </c>
      <c r="V148" s="9">
        <v>2.940013365643242</v>
      </c>
      <c r="W148" s="9">
        <v>3.973736717359272</v>
      </c>
      <c r="X148" s="9">
        <v>3.729570442026439</v>
      </c>
      <c r="Y148" s="9">
        <v>3.451747718172504</v>
      </c>
      <c r="Z148" s="9">
        <v>4.600669413705059</v>
      </c>
      <c r="AA148" s="9">
        <v>3.824440098130467</v>
      </c>
      <c r="AB148" s="9">
        <v>3.311484428833339</v>
      </c>
      <c r="AC148" s="9">
        <v>4.731727882811857</v>
      </c>
      <c r="AD148" s="9">
        <v>3.134893877900012</v>
      </c>
      <c r="AE148" s="9">
        <v>4.489717403319541</v>
      </c>
      <c r="AF148" s="9">
        <v>4.613371665151451</v>
      </c>
      <c r="AG148" s="9">
        <v>2.967115583136936</v>
      </c>
      <c r="AH148" s="9">
        <v>3.782598994422486</v>
      </c>
      <c r="AI148" s="9">
        <v>4.40779224853283</v>
      </c>
      <c r="AJ148" s="9">
        <v>3.875231167963491</v>
      </c>
      <c r="AK148" s="9">
        <v>3.411735875562855</v>
      </c>
      <c r="AL148" s="9">
        <v>4.533284240514281</v>
      </c>
      <c r="AM148" s="9">
        <v>3.563370081773732</v>
      </c>
      <c r="AN148" s="9">
        <v>3.838365211181421</v>
      </c>
      <c r="AO148" s="9">
        <v>3.759904676313751</v>
      </c>
      <c r="AP148" s="9">
        <v>3.263981718518463</v>
      </c>
      <c r="AQ148" s="9">
        <v>3.668482124664252</v>
      </c>
      <c r="AR148" s="9">
        <v>3.86846889197958</v>
      </c>
      <c r="AS148" s="9">
        <v>3.80701752961147</v>
      </c>
      <c r="AT148" s="9">
        <v>3.95576387207758</v>
      </c>
      <c r="AU148" s="9">
        <v>4.378094807003837</v>
      </c>
      <c r="AV148" s="9">
        <v>3.905721292934611</v>
      </c>
      <c r="AW148" s="9">
        <v>3.364877098826114</v>
      </c>
    </row>
    <row r="149" ht="15.0" customHeight="1">
      <c r="A149" s="5" t="s">
        <v>362</v>
      </c>
      <c r="B149" s="5" t="s">
        <v>363</v>
      </c>
      <c r="C149" s="5" t="s">
        <v>51</v>
      </c>
      <c r="D149" s="5" t="s">
        <v>52</v>
      </c>
      <c r="E149" s="5">
        <v>6.5</v>
      </c>
      <c r="F149" s="6">
        <v>1.0</v>
      </c>
      <c r="G149" s="10">
        <v>85.0</v>
      </c>
      <c r="H149" s="5">
        <v>2538.0</v>
      </c>
      <c r="I149" s="5" t="b">
        <v>1</v>
      </c>
      <c r="J149" s="5" t="b">
        <v>0</v>
      </c>
      <c r="K149" s="7">
        <v>85.0</v>
      </c>
      <c r="L149" s="8">
        <v>0.07946162653818731</v>
      </c>
      <c r="M149" s="9">
        <f t="shared" si="1"/>
        <v>0.4877106971</v>
      </c>
      <c r="N149" s="7">
        <f t="shared" si="2"/>
        <v>16.5821637</v>
      </c>
      <c r="O149" s="9">
        <f t="shared" si="3"/>
        <v>2.551102108</v>
      </c>
      <c r="P149" s="9">
        <v>0.0</v>
      </c>
      <c r="Q149" s="9">
        <v>0.0</v>
      </c>
      <c r="R149" s="9">
        <v>0.0</v>
      </c>
      <c r="S149" s="9">
        <v>0.0</v>
      </c>
      <c r="T149" s="9">
        <v>0.0</v>
      </c>
      <c r="U149" s="9">
        <v>0.0</v>
      </c>
      <c r="V149" s="9">
        <v>0.0</v>
      </c>
      <c r="W149" s="9">
        <v>0.0</v>
      </c>
      <c r="X149" s="9">
        <v>0.0</v>
      </c>
      <c r="Y149" s="9">
        <v>0.0</v>
      </c>
      <c r="Z149" s="9">
        <v>0.0</v>
      </c>
      <c r="AA149" s="9">
        <v>0.0</v>
      </c>
      <c r="AB149" s="9">
        <v>0.0</v>
      </c>
      <c r="AC149" s="9">
        <v>0.0</v>
      </c>
      <c r="AD149" s="9">
        <v>0.0</v>
      </c>
      <c r="AE149" s="9">
        <v>0.0</v>
      </c>
      <c r="AF149" s="9">
        <v>0.0</v>
      </c>
      <c r="AG149" s="9">
        <v>0.0</v>
      </c>
      <c r="AH149" s="9">
        <v>0.0</v>
      </c>
      <c r="AI149" s="9">
        <v>0.0</v>
      </c>
      <c r="AJ149" s="9">
        <v>0.0</v>
      </c>
      <c r="AK149" s="9">
        <v>0.0</v>
      </c>
      <c r="AL149" s="9">
        <v>0.0</v>
      </c>
      <c r="AM149" s="9">
        <v>0.0</v>
      </c>
      <c r="AN149" s="9">
        <v>0.0</v>
      </c>
      <c r="AO149" s="9">
        <v>0.0</v>
      </c>
      <c r="AP149" s="9">
        <v>0.0</v>
      </c>
      <c r="AQ149" s="9">
        <v>0.0</v>
      </c>
      <c r="AR149" s="9">
        <v>2.766089804459664</v>
      </c>
      <c r="AS149" s="9">
        <v>2.758110002855791</v>
      </c>
      <c r="AT149" s="9">
        <v>2.778707504543313</v>
      </c>
      <c r="AU149" s="9">
        <v>2.951560396824232</v>
      </c>
      <c r="AV149" s="9">
        <v>2.754840417998031</v>
      </c>
      <c r="AW149" s="9">
        <v>2.572855574440041</v>
      </c>
    </row>
    <row r="150" ht="15.0" customHeight="1">
      <c r="A150" s="5" t="s">
        <v>364</v>
      </c>
      <c r="B150" s="5" t="s">
        <v>365</v>
      </c>
      <c r="C150" s="5" t="s">
        <v>51</v>
      </c>
      <c r="D150" s="5" t="s">
        <v>52</v>
      </c>
      <c r="E150" s="5">
        <v>9.0</v>
      </c>
      <c r="F150" s="6">
        <v>0.6129032258</v>
      </c>
      <c r="G150" s="5">
        <v>85.0</v>
      </c>
      <c r="H150" s="5">
        <v>1733.0</v>
      </c>
      <c r="I150" s="5" t="b">
        <v>1</v>
      </c>
      <c r="J150" s="5" t="b">
        <v>0</v>
      </c>
      <c r="K150" s="7">
        <v>60.98064516089</v>
      </c>
      <c r="L150" s="8">
        <v>0.0859417301792787</v>
      </c>
      <c r="M150" s="9">
        <f t="shared" si="1"/>
        <v>2.898406583</v>
      </c>
      <c r="N150" s="7">
        <f t="shared" si="2"/>
        <v>98.54582381</v>
      </c>
      <c r="O150" s="9">
        <f t="shared" si="3"/>
        <v>10.94953598</v>
      </c>
      <c r="P150" s="9">
        <v>3.332788316766673</v>
      </c>
      <c r="Q150" s="9">
        <v>2.816979054487651</v>
      </c>
      <c r="R150" s="9">
        <v>2.900556357318894</v>
      </c>
      <c r="S150" s="9">
        <v>2.549391882288182</v>
      </c>
      <c r="T150" s="9">
        <v>2.523584504189278</v>
      </c>
      <c r="U150" s="9">
        <v>3.160176781496207</v>
      </c>
      <c r="V150" s="9">
        <v>2.339831588807257</v>
      </c>
      <c r="W150" s="9">
        <v>2.98079694917446</v>
      </c>
      <c r="X150" s="9">
        <v>2.87117443360785</v>
      </c>
      <c r="Y150" s="9">
        <v>2.663850373100247</v>
      </c>
      <c r="Z150" s="9">
        <v>3.415972117784855</v>
      </c>
      <c r="AA150" s="9">
        <v>2.925986046312897</v>
      </c>
      <c r="AB150" s="9">
        <v>2.55183752089574</v>
      </c>
      <c r="AC150" s="9">
        <v>3.460408971999312</v>
      </c>
      <c r="AD150" s="9">
        <v>2.456376332995699</v>
      </c>
      <c r="AE150" s="9">
        <v>3.293691625918802</v>
      </c>
      <c r="AF150" s="9">
        <v>3.396168756558699</v>
      </c>
      <c r="AG150" s="9">
        <v>2.345069828883155</v>
      </c>
      <c r="AH150" s="9">
        <v>2.877755919170121</v>
      </c>
      <c r="AI150" s="9">
        <v>3.305275278173942</v>
      </c>
      <c r="AJ150" s="9">
        <v>2.955092443040863</v>
      </c>
      <c r="AK150" s="9">
        <v>2.652937063935084</v>
      </c>
      <c r="AL150" s="9">
        <v>3.37744943174567</v>
      </c>
      <c r="AM150" s="9">
        <v>2.741800703446607</v>
      </c>
      <c r="AN150" s="9">
        <v>2.920389404865922</v>
      </c>
      <c r="AO150" s="9">
        <v>2.831234652069161</v>
      </c>
      <c r="AP150" s="9">
        <v>2.526879585903667</v>
      </c>
      <c r="AQ150" s="9">
        <v>2.805416566491023</v>
      </c>
      <c r="AR150" s="9">
        <v>2.923898030484723</v>
      </c>
      <c r="AS150" s="9">
        <v>2.891563771770655</v>
      </c>
      <c r="AT150" s="9">
        <v>2.970533907045463</v>
      </c>
      <c r="AU150" s="9">
        <v>3.257498157469954</v>
      </c>
      <c r="AV150" s="9">
        <v>2.934673741852323</v>
      </c>
      <c r="AW150" s="9">
        <v>2.588783710991203</v>
      </c>
    </row>
    <row r="151" ht="15.0" customHeight="1">
      <c r="A151" s="5" t="s">
        <v>366</v>
      </c>
      <c r="B151" s="5" t="s">
        <v>367</v>
      </c>
      <c r="C151" s="5" t="s">
        <v>76</v>
      </c>
      <c r="D151" s="5" t="s">
        <v>52</v>
      </c>
      <c r="E151" s="5">
        <v>6.0</v>
      </c>
      <c r="F151" s="6">
        <v>0.84375</v>
      </c>
      <c r="G151" s="5">
        <v>82.0</v>
      </c>
      <c r="H151" s="5">
        <v>2493.0</v>
      </c>
      <c r="I151" s="5" t="b">
        <v>1</v>
      </c>
      <c r="J151" s="5" t="b">
        <v>0</v>
      </c>
      <c r="K151" s="7">
        <v>72.7734375</v>
      </c>
      <c r="L151" s="8">
        <v>0.0680587524396096</v>
      </c>
      <c r="M151" s="9">
        <f t="shared" si="1"/>
        <v>2.452951082</v>
      </c>
      <c r="N151" s="7">
        <f t="shared" si="2"/>
        <v>83.40033679</v>
      </c>
      <c r="O151" s="9">
        <f t="shared" si="3"/>
        <v>13.90005613</v>
      </c>
      <c r="P151" s="9">
        <v>2.358101393946514</v>
      </c>
      <c r="Q151" s="9">
        <v>2.275057873627056</v>
      </c>
      <c r="R151" s="9">
        <v>2.693720116137915</v>
      </c>
      <c r="S151" s="9">
        <v>2.51278546316293</v>
      </c>
      <c r="T151" s="9">
        <v>2.418245058469835</v>
      </c>
      <c r="U151" s="9">
        <v>2.612711382353992</v>
      </c>
      <c r="V151" s="9">
        <v>2.391663751476351</v>
      </c>
      <c r="W151" s="9">
        <v>2.169676991640636</v>
      </c>
      <c r="X151" s="9">
        <v>2.639354290469717</v>
      </c>
      <c r="Y151" s="9">
        <v>2.482722423575444</v>
      </c>
      <c r="Z151" s="9">
        <v>2.454875411290736</v>
      </c>
      <c r="AA151" s="9">
        <v>2.347021483327818</v>
      </c>
      <c r="AB151" s="9">
        <v>2.26569805598468</v>
      </c>
      <c r="AC151" s="9">
        <v>2.45261520955241</v>
      </c>
      <c r="AD151" s="9">
        <v>2.728324298630078</v>
      </c>
      <c r="AE151" s="9">
        <v>2.711017753089907</v>
      </c>
      <c r="AF151" s="9">
        <v>2.295394938991793</v>
      </c>
      <c r="AG151" s="9">
        <v>2.244909539318502</v>
      </c>
      <c r="AH151" s="9">
        <v>2.600676731250977</v>
      </c>
      <c r="AI151" s="9">
        <v>2.199184706297521</v>
      </c>
      <c r="AJ151" s="9">
        <v>2.457203615255775</v>
      </c>
      <c r="AK151" s="9">
        <v>2.394399449762931</v>
      </c>
      <c r="AL151" s="9">
        <v>2.74174464381963</v>
      </c>
      <c r="AM151" s="9">
        <v>2.422059078057848</v>
      </c>
      <c r="AN151" s="9">
        <v>2.190477554932275</v>
      </c>
      <c r="AO151" s="9">
        <v>2.676242525473441</v>
      </c>
      <c r="AP151" s="9">
        <v>2.464734121872041</v>
      </c>
      <c r="AQ151" s="9">
        <v>2.446295491001078</v>
      </c>
      <c r="AR151" s="9">
        <v>2.271970266351913</v>
      </c>
      <c r="AS151" s="9">
        <v>2.702507389831034</v>
      </c>
      <c r="AT151" s="9">
        <v>2.481842812285105</v>
      </c>
      <c r="AU151" s="9">
        <v>2.502574897026031</v>
      </c>
      <c r="AV151" s="9">
        <v>2.47663301577264</v>
      </c>
      <c r="AW151" s="9">
        <v>2.317895056453835</v>
      </c>
    </row>
    <row r="152" ht="15.0" customHeight="1">
      <c r="A152" s="5" t="s">
        <v>368</v>
      </c>
      <c r="B152" s="5" t="s">
        <v>369</v>
      </c>
      <c r="C152" s="5" t="s">
        <v>95</v>
      </c>
      <c r="D152" s="5" t="s">
        <v>83</v>
      </c>
      <c r="E152" s="5">
        <v>4.5</v>
      </c>
      <c r="F152" s="6"/>
      <c r="G152" s="5"/>
      <c r="H152" s="5">
        <v>2891.0</v>
      </c>
      <c r="I152" s="5" t="b">
        <v>1</v>
      </c>
      <c r="J152" s="5" t="b">
        <v>0</v>
      </c>
      <c r="K152" s="7">
        <v>80.76</v>
      </c>
      <c r="L152" s="8">
        <v>0.0636875181023022</v>
      </c>
      <c r="M152" s="9">
        <f t="shared" si="1"/>
        <v>2.944413255</v>
      </c>
      <c r="N152" s="7">
        <f t="shared" si="2"/>
        <v>100.1100507</v>
      </c>
      <c r="O152" s="9">
        <f t="shared" si="3"/>
        <v>22.24667793</v>
      </c>
      <c r="P152" s="9">
        <v>2.73917298494262</v>
      </c>
      <c r="Q152" s="9">
        <v>2.714949735058692</v>
      </c>
      <c r="R152" s="9">
        <v>3.06426895004918</v>
      </c>
      <c r="S152" s="9">
        <v>2.902100877901005</v>
      </c>
      <c r="T152" s="9">
        <v>3.442445965376681</v>
      </c>
      <c r="U152" s="9">
        <v>2.292730071725739</v>
      </c>
      <c r="V152" s="9">
        <v>2.947146940690344</v>
      </c>
      <c r="W152" s="9">
        <v>2.944894155648302</v>
      </c>
      <c r="X152" s="9">
        <v>3.682341578055674</v>
      </c>
      <c r="Y152" s="9">
        <v>2.972985078923781</v>
      </c>
      <c r="Z152" s="9">
        <v>2.507961304018653</v>
      </c>
      <c r="AA152" s="9">
        <v>3.156509244882316</v>
      </c>
      <c r="AB152" s="9">
        <v>2.900593748301927</v>
      </c>
      <c r="AC152" s="9">
        <v>3.173879292987144</v>
      </c>
      <c r="AD152" s="9">
        <v>2.882508455212582</v>
      </c>
      <c r="AE152" s="9">
        <v>2.455057860601952</v>
      </c>
      <c r="AF152" s="9">
        <v>2.97098814660241</v>
      </c>
      <c r="AG152" s="9">
        <v>3.374840525883783</v>
      </c>
      <c r="AH152" s="9">
        <v>2.548911019616266</v>
      </c>
      <c r="AI152" s="9">
        <v>2.893622737830104</v>
      </c>
      <c r="AJ152" s="9">
        <v>3.157665320725067</v>
      </c>
      <c r="AK152" s="9">
        <v>3.181194066353338</v>
      </c>
      <c r="AL152" s="9">
        <v>2.499458840702931</v>
      </c>
      <c r="AM152" s="9">
        <v>2.594450360831944</v>
      </c>
      <c r="AN152" s="9">
        <v>3.673216669915782</v>
      </c>
      <c r="AO152" s="9">
        <v>2.513585458936783</v>
      </c>
      <c r="AP152" s="9">
        <v>2.642879111945202</v>
      </c>
      <c r="AQ152" s="9">
        <v>3.652276721295827</v>
      </c>
      <c r="AR152" s="9">
        <v>3.428545856976268</v>
      </c>
      <c r="AS152" s="9">
        <v>2.392903346526174</v>
      </c>
      <c r="AT152" s="9">
        <v>2.823459094940459</v>
      </c>
      <c r="AU152" s="9">
        <v>2.959029160802527</v>
      </c>
      <c r="AV152" s="9">
        <v>2.569687363758173</v>
      </c>
      <c r="AW152" s="9">
        <v>3.453790628354303</v>
      </c>
    </row>
    <row r="153" ht="15.0" customHeight="1">
      <c r="A153" s="5" t="s">
        <v>370</v>
      </c>
      <c r="B153" s="5" t="s">
        <v>371</v>
      </c>
      <c r="C153" s="5" t="s">
        <v>82</v>
      </c>
      <c r="D153" s="5" t="s">
        <v>103</v>
      </c>
      <c r="E153" s="5">
        <v>4.0</v>
      </c>
      <c r="F153" s="6">
        <v>0.02941176471</v>
      </c>
      <c r="G153" s="5">
        <v>90.0</v>
      </c>
      <c r="H153" s="5">
        <v>120.0</v>
      </c>
      <c r="I153" s="5" t="b">
        <v>0</v>
      </c>
      <c r="J153" s="5" t="b">
        <v>0</v>
      </c>
      <c r="K153" s="7">
        <v>2.6470588239</v>
      </c>
      <c r="L153" s="8">
        <v>0.1102179634095762</v>
      </c>
      <c r="M153" s="9">
        <f t="shared" si="1"/>
        <v>1.034454506</v>
      </c>
      <c r="N153" s="7">
        <f t="shared" si="2"/>
        <v>35.17145321</v>
      </c>
      <c r="O153" s="9">
        <f t="shared" si="3"/>
        <v>8.792863302</v>
      </c>
      <c r="P153" s="9">
        <v>1.033922978560816</v>
      </c>
      <c r="Q153" s="9">
        <v>1.03501551827083</v>
      </c>
      <c r="R153" s="9">
        <v>0.0</v>
      </c>
      <c r="S153" s="9">
        <v>1.034502337386856</v>
      </c>
      <c r="T153" s="9">
        <v>2.068726424066744</v>
      </c>
      <c r="U153" s="9">
        <v>1.033984136380362</v>
      </c>
      <c r="V153" s="9">
        <v>1.033621493313213</v>
      </c>
      <c r="W153" s="9">
        <v>1.035197934785162</v>
      </c>
      <c r="X153" s="9">
        <v>1.034028143584633</v>
      </c>
      <c r="Y153" s="9">
        <v>1.034761625819144</v>
      </c>
      <c r="Z153" s="9">
        <v>1.03451176979717</v>
      </c>
      <c r="AA153" s="9">
        <v>1.034462903893998</v>
      </c>
      <c r="AB153" s="9">
        <v>1.035624017216677</v>
      </c>
      <c r="AC153" s="9">
        <v>1.034340770580275</v>
      </c>
      <c r="AD153" s="9">
        <v>1.034597372976144</v>
      </c>
      <c r="AE153" s="9">
        <v>1.033480779998259</v>
      </c>
      <c r="AF153" s="9">
        <v>1.035503358118119</v>
      </c>
      <c r="AG153" s="9">
        <v>1.034290413644475</v>
      </c>
      <c r="AH153" s="9">
        <v>1.03470887783232</v>
      </c>
      <c r="AI153" s="9">
        <v>1.033767801938918</v>
      </c>
      <c r="AJ153" s="9">
        <v>1.034153361657351</v>
      </c>
      <c r="AK153" s="9">
        <v>1.034790279032694</v>
      </c>
      <c r="AL153" s="9">
        <v>1.033411533740751</v>
      </c>
      <c r="AM153" s="9">
        <v>1.035825119288043</v>
      </c>
      <c r="AN153" s="9">
        <v>1.033839203458716</v>
      </c>
      <c r="AO153" s="9">
        <v>1.03412031051479</v>
      </c>
      <c r="AP153" s="9">
        <v>1.035427519709351</v>
      </c>
      <c r="AQ153" s="9">
        <v>1.034439291424704</v>
      </c>
      <c r="AR153" s="9">
        <v>1.033920064689078</v>
      </c>
      <c r="AS153" s="9">
        <v>1.034610535121043</v>
      </c>
      <c r="AT153" s="9">
        <v>1.034307600264996</v>
      </c>
      <c r="AU153" s="9">
        <v>1.034519882313194</v>
      </c>
      <c r="AV153" s="9">
        <v>1.033774888635984</v>
      </c>
      <c r="AW153" s="9">
        <v>1.035264959984094</v>
      </c>
    </row>
    <row r="154" ht="15.0" customHeight="1">
      <c r="A154" s="5" t="s">
        <v>372</v>
      </c>
      <c r="B154" s="5" t="s">
        <v>373</v>
      </c>
      <c r="C154" s="5" t="s">
        <v>82</v>
      </c>
      <c r="D154" s="5" t="s">
        <v>52</v>
      </c>
      <c r="E154" s="5">
        <v>5.0</v>
      </c>
      <c r="F154" s="6">
        <v>0.8695652174</v>
      </c>
      <c r="G154" s="5">
        <v>78.0</v>
      </c>
      <c r="H154" s="5">
        <v>1683.0</v>
      </c>
      <c r="I154" s="5" t="b">
        <v>1</v>
      </c>
      <c r="J154" s="5" t="b">
        <v>0</v>
      </c>
      <c r="K154" s="7">
        <v>70.81956521787001</v>
      </c>
      <c r="L154" s="8">
        <v>0.05104163835865397</v>
      </c>
      <c r="M154" s="9">
        <f t="shared" si="1"/>
        <v>2.611283635</v>
      </c>
      <c r="N154" s="7">
        <f t="shared" si="2"/>
        <v>88.78364359</v>
      </c>
      <c r="O154" s="9">
        <f t="shared" si="3"/>
        <v>17.75672872</v>
      </c>
      <c r="P154" s="9">
        <v>2.432808338387544</v>
      </c>
      <c r="Q154" s="9">
        <v>2.776986337304824</v>
      </c>
      <c r="R154" s="9">
        <v>0.0</v>
      </c>
      <c r="S154" s="9">
        <v>2.620359321586543</v>
      </c>
      <c r="T154" s="9">
        <v>5.25155966509025</v>
      </c>
      <c r="U154" s="9">
        <v>2.452003413428506</v>
      </c>
      <c r="V154" s="9">
        <v>2.390487556820136</v>
      </c>
      <c r="W154" s="9">
        <v>2.882265965145207</v>
      </c>
      <c r="X154" s="9">
        <v>2.498501342591052</v>
      </c>
      <c r="Y154" s="9">
        <v>2.652623443789707</v>
      </c>
      <c r="Z154" s="9">
        <v>2.642335693392869</v>
      </c>
      <c r="AA154" s="9">
        <v>2.614056081154669</v>
      </c>
      <c r="AB154" s="9">
        <v>2.894729808456245</v>
      </c>
      <c r="AC154" s="9">
        <v>2.580580803543316</v>
      </c>
      <c r="AD154" s="9">
        <v>2.616867082045955</v>
      </c>
      <c r="AE154" s="9">
        <v>2.326172603034578</v>
      </c>
      <c r="AF154" s="9">
        <v>2.934562440819642</v>
      </c>
      <c r="AG154" s="9">
        <v>2.630650731809538</v>
      </c>
      <c r="AH154" s="9">
        <v>2.63101143180423</v>
      </c>
      <c r="AI154" s="9">
        <v>2.423893153653785</v>
      </c>
      <c r="AJ154" s="9">
        <v>2.54337179468605</v>
      </c>
      <c r="AK154" s="9">
        <v>2.657382086708</v>
      </c>
      <c r="AL154" s="9">
        <v>2.334879405536098</v>
      </c>
      <c r="AM154" s="9">
        <v>2.921146786736088</v>
      </c>
      <c r="AN154" s="9">
        <v>2.421965956769299</v>
      </c>
      <c r="AO154" s="9">
        <v>2.481743440166488</v>
      </c>
      <c r="AP154" s="9">
        <v>2.86840559662973</v>
      </c>
      <c r="AQ154" s="9">
        <v>2.656704242111591</v>
      </c>
      <c r="AR154" s="9">
        <v>2.500691320117312</v>
      </c>
      <c r="AS154" s="9">
        <v>2.63331516491998</v>
      </c>
      <c r="AT154" s="9">
        <v>2.575315883486134</v>
      </c>
      <c r="AU154" s="9">
        <v>2.670325922240283</v>
      </c>
      <c r="AV154" s="9">
        <v>2.440223318707563</v>
      </c>
      <c r="AW154" s="9">
        <v>2.825717462289325</v>
      </c>
    </row>
    <row r="155" ht="15.0" customHeight="1">
      <c r="A155" s="5" t="s">
        <v>374</v>
      </c>
      <c r="B155" s="5" t="s">
        <v>375</v>
      </c>
      <c r="C155" s="5" t="s">
        <v>82</v>
      </c>
      <c r="D155" s="5" t="s">
        <v>56</v>
      </c>
      <c r="E155" s="5">
        <v>5.0</v>
      </c>
      <c r="F155" s="6">
        <v>0.59375</v>
      </c>
      <c r="G155" s="5">
        <v>70.0</v>
      </c>
      <c r="H155" s="5">
        <v>1727.0</v>
      </c>
      <c r="I155" s="5" t="b">
        <v>1</v>
      </c>
      <c r="J155" s="5" t="b">
        <v>0</v>
      </c>
      <c r="K155" s="7">
        <v>51.304375</v>
      </c>
      <c r="L155" s="8">
        <v>0.08268133898187797</v>
      </c>
      <c r="M155" s="9">
        <f t="shared" si="1"/>
        <v>1.730999779</v>
      </c>
      <c r="N155" s="7">
        <f t="shared" si="2"/>
        <v>58.8539925</v>
      </c>
      <c r="O155" s="9">
        <f t="shared" si="3"/>
        <v>11.7707985</v>
      </c>
      <c r="P155" s="9">
        <v>1.626369600654746</v>
      </c>
      <c r="Q155" s="9">
        <v>1.841433944441294</v>
      </c>
      <c r="R155" s="9">
        <v>0.0</v>
      </c>
      <c r="S155" s="9">
        <v>1.740415272951314</v>
      </c>
      <c r="T155" s="9">
        <v>3.426057428592672</v>
      </c>
      <c r="U155" s="9">
        <v>1.638408399983927</v>
      </c>
      <c r="V155" s="9">
        <v>1.567022808640745</v>
      </c>
      <c r="W155" s="9">
        <v>1.87734228497202</v>
      </c>
      <c r="X155" s="9">
        <v>1.647071133632603</v>
      </c>
      <c r="Y155" s="9">
        <v>1.791455702905696</v>
      </c>
      <c r="Z155" s="9">
        <v>1.742272024807413</v>
      </c>
      <c r="AA155" s="9">
        <v>1.732652865610744</v>
      </c>
      <c r="AB155" s="9">
        <v>1.961215793360548</v>
      </c>
      <c r="AC155" s="9">
        <v>1.708611157351162</v>
      </c>
      <c r="AD155" s="9">
        <v>1.759122846194722</v>
      </c>
      <c r="AE155" s="9">
        <v>1.539323662820069</v>
      </c>
      <c r="AF155" s="9">
        <v>1.937464281524983</v>
      </c>
      <c r="AG155" s="9">
        <v>1.698698491245163</v>
      </c>
      <c r="AH155" s="9">
        <v>1.781072362997361</v>
      </c>
      <c r="AI155" s="9">
        <v>1.595823380637662</v>
      </c>
      <c r="AJ155" s="9">
        <v>1.671720070776369</v>
      </c>
      <c r="AK155" s="9">
        <v>1.797096032966971</v>
      </c>
      <c r="AL155" s="9">
        <v>1.52569267001117</v>
      </c>
      <c r="AM155" s="9">
        <v>2.000802349909465</v>
      </c>
      <c r="AN155" s="9">
        <v>1.609878632689189</v>
      </c>
      <c r="AO155" s="9">
        <v>1.665214016835123</v>
      </c>
      <c r="AP155" s="9">
        <v>1.922535636400334</v>
      </c>
      <c r="AQ155" s="9">
        <v>1.728004796375933</v>
      </c>
      <c r="AR155" s="9">
        <v>1.62579601059895</v>
      </c>
      <c r="AS155" s="9">
        <v>1.761713789141273</v>
      </c>
      <c r="AT155" s="9">
        <v>1.702081644489216</v>
      </c>
      <c r="AU155" s="9">
        <v>1.743868958007371</v>
      </c>
      <c r="AV155" s="9">
        <v>1.597218383345659</v>
      </c>
      <c r="AW155" s="9">
        <v>1.890536066665553</v>
      </c>
    </row>
    <row r="156" ht="15.0" customHeight="1">
      <c r="A156" s="5" t="s">
        <v>376</v>
      </c>
      <c r="B156" s="5" t="s">
        <v>377</v>
      </c>
      <c r="C156" s="5" t="s">
        <v>59</v>
      </c>
      <c r="D156" s="5" t="s">
        <v>83</v>
      </c>
      <c r="E156" s="5">
        <v>5.0</v>
      </c>
      <c r="F156" s="6">
        <v>0.625</v>
      </c>
      <c r="G156" s="5">
        <v>79.0</v>
      </c>
      <c r="H156" s="5">
        <v>1467.0</v>
      </c>
      <c r="I156" s="5" t="b">
        <v>0</v>
      </c>
      <c r="J156" s="5" t="b">
        <v>0</v>
      </c>
      <c r="K156" s="7">
        <v>16.24</v>
      </c>
      <c r="L156" s="8">
        <v>0.06779979963135739</v>
      </c>
      <c r="M156" s="9">
        <f t="shared" si="1"/>
        <v>1.15981751</v>
      </c>
      <c r="N156" s="7">
        <f t="shared" si="2"/>
        <v>39.43379533</v>
      </c>
      <c r="O156" s="9">
        <f t="shared" si="3"/>
        <v>7.886759067</v>
      </c>
      <c r="P156" s="9">
        <v>1.16419768303349</v>
      </c>
      <c r="Q156" s="9">
        <v>1.171892636099561</v>
      </c>
      <c r="R156" s="9">
        <v>0.0</v>
      </c>
      <c r="S156" s="9">
        <v>1.161660664540095</v>
      </c>
      <c r="T156" s="9">
        <v>1.143210850699158</v>
      </c>
      <c r="U156" s="9">
        <v>2.360297507524373</v>
      </c>
      <c r="V156" s="9">
        <v>1.192214034520326</v>
      </c>
      <c r="W156" s="9">
        <v>1.168407798083923</v>
      </c>
      <c r="X156" s="9">
        <v>1.131176475886934</v>
      </c>
      <c r="Y156" s="9">
        <v>1.144625791480468</v>
      </c>
      <c r="Z156" s="9">
        <v>1.151228845992311</v>
      </c>
      <c r="AA156" s="9">
        <v>1.109391385817511</v>
      </c>
      <c r="AB156" s="9">
        <v>1.189344642420834</v>
      </c>
      <c r="AC156" s="9">
        <v>1.112867658763277</v>
      </c>
      <c r="AD156" s="9">
        <v>1.159969475664628</v>
      </c>
      <c r="AE156" s="9">
        <v>1.197827857683842</v>
      </c>
      <c r="AF156" s="9">
        <v>1.170665973502568</v>
      </c>
      <c r="AG156" s="9">
        <v>1.160316777720537</v>
      </c>
      <c r="AH156" s="9">
        <v>1.163634203100764</v>
      </c>
      <c r="AI156" s="9">
        <v>1.204208729256837</v>
      </c>
      <c r="AJ156" s="9">
        <v>1.137381147964839</v>
      </c>
      <c r="AK156" s="9">
        <v>1.15264888863473</v>
      </c>
      <c r="AL156" s="9">
        <v>1.216194816477284</v>
      </c>
      <c r="AM156" s="9">
        <v>1.139265124831281</v>
      </c>
      <c r="AN156" s="9">
        <v>1.150493075656304</v>
      </c>
      <c r="AO156" s="9">
        <v>1.207585506785341</v>
      </c>
      <c r="AP156" s="9">
        <v>1.134762942170253</v>
      </c>
      <c r="AQ156" s="9">
        <v>1.134638197437266</v>
      </c>
      <c r="AR156" s="9">
        <v>1.128423116744898</v>
      </c>
      <c r="AS156" s="9">
        <v>1.115832135816375</v>
      </c>
      <c r="AT156" s="9">
        <v>1.199173321456921</v>
      </c>
      <c r="AU156" s="9">
        <v>1.1218561638037</v>
      </c>
      <c r="AV156" s="9">
        <v>1.181535273506144</v>
      </c>
      <c r="AW156" s="9">
        <v>1.156866629680524</v>
      </c>
    </row>
    <row r="157" ht="15.0" customHeight="1">
      <c r="A157" s="5" t="s">
        <v>378</v>
      </c>
      <c r="B157" s="5" t="s">
        <v>379</v>
      </c>
      <c r="C157" s="5" t="s">
        <v>59</v>
      </c>
      <c r="D157" s="5" t="s">
        <v>83</v>
      </c>
      <c r="E157" s="5">
        <v>5.5</v>
      </c>
      <c r="F157" s="6">
        <v>0.2222222222</v>
      </c>
      <c r="G157" s="5">
        <v>90.0</v>
      </c>
      <c r="H157" s="5">
        <v>827.0</v>
      </c>
      <c r="I157" s="5" t="b">
        <v>0</v>
      </c>
      <c r="J157" s="5" t="b">
        <v>0</v>
      </c>
      <c r="K157" s="7">
        <v>32.631111109472</v>
      </c>
      <c r="L157" s="8">
        <v>0.08722113671692898</v>
      </c>
      <c r="M157" s="9">
        <f t="shared" si="1"/>
        <v>1.324650808</v>
      </c>
      <c r="N157" s="7">
        <f t="shared" si="2"/>
        <v>45.03812747</v>
      </c>
      <c r="O157" s="9">
        <f t="shared" si="3"/>
        <v>8.188750449</v>
      </c>
      <c r="P157" s="9">
        <v>1.335856713249279</v>
      </c>
      <c r="Q157" s="9">
        <v>1.35554290151658</v>
      </c>
      <c r="R157" s="9">
        <v>0.0</v>
      </c>
      <c r="S157" s="9">
        <v>1.329366196248103</v>
      </c>
      <c r="T157" s="9">
        <v>1.282165582332626</v>
      </c>
      <c r="U157" s="9">
        <v>2.753329462030919</v>
      </c>
      <c r="V157" s="9">
        <v>1.407531636435567</v>
      </c>
      <c r="W157" s="9">
        <v>1.346627554448463</v>
      </c>
      <c r="X157" s="9">
        <v>1.251377744356418</v>
      </c>
      <c r="Y157" s="9">
        <v>1.285785460240752</v>
      </c>
      <c r="Z157" s="9">
        <v>1.302678217499084</v>
      </c>
      <c r="AA157" s="9">
        <v>1.195644410982659</v>
      </c>
      <c r="AB157" s="9">
        <v>1.400190799838089</v>
      </c>
      <c r="AC157" s="9">
        <v>1.204537845821218</v>
      </c>
      <c r="AD157" s="9">
        <v>1.325039586025514</v>
      </c>
      <c r="AE157" s="9">
        <v>1.421893618730637</v>
      </c>
      <c r="AF157" s="9">
        <v>1.352404700332308</v>
      </c>
      <c r="AG157" s="9">
        <v>1.325928097443262</v>
      </c>
      <c r="AH157" s="9">
        <v>1.334415148636053</v>
      </c>
      <c r="AI157" s="9">
        <v>1.438217959895148</v>
      </c>
      <c r="AJ157" s="9">
        <v>1.267251310005711</v>
      </c>
      <c r="AK157" s="9">
        <v>1.306311147624354</v>
      </c>
      <c r="AL157" s="9">
        <v>1.468882262534032</v>
      </c>
      <c r="AM157" s="9">
        <v>1.272071134501789</v>
      </c>
      <c r="AN157" s="9">
        <v>1.300795878096652</v>
      </c>
      <c r="AO157" s="9">
        <v>1.446856853153124</v>
      </c>
      <c r="AP157" s="9">
        <v>1.260553089528964</v>
      </c>
      <c r="AQ157" s="9">
        <v>1.260233952001049</v>
      </c>
      <c r="AR157" s="9">
        <v>1.244333757736591</v>
      </c>
      <c r="AS157" s="9">
        <v>1.212121940601304</v>
      </c>
      <c r="AT157" s="9">
        <v>1.425335751894575</v>
      </c>
      <c r="AU157" s="9">
        <v>1.227533360017085</v>
      </c>
      <c r="AV157" s="9">
        <v>1.380211898682567</v>
      </c>
      <c r="AW157" s="9">
        <v>1.317101498595606</v>
      </c>
    </row>
    <row r="158" ht="15.0" customHeight="1">
      <c r="A158" s="5" t="s">
        <v>380</v>
      </c>
      <c r="B158" s="5" t="s">
        <v>381</v>
      </c>
      <c r="C158" s="5" t="s">
        <v>59</v>
      </c>
      <c r="D158" s="5" t="s">
        <v>83</v>
      </c>
      <c r="E158" s="5">
        <v>4.0</v>
      </c>
      <c r="F158" s="6"/>
      <c r="G158" s="5"/>
      <c r="H158" s="5">
        <v>1478.0</v>
      </c>
      <c r="I158" s="5" t="b">
        <v>0</v>
      </c>
      <c r="J158" s="5" t="b">
        <v>0</v>
      </c>
      <c r="K158" s="7">
        <v>16.24</v>
      </c>
      <c r="L158" s="8">
        <v>0.0754450821720493</v>
      </c>
      <c r="M158" s="9">
        <f t="shared" si="1"/>
        <v>1.150750707</v>
      </c>
      <c r="N158" s="7">
        <f t="shared" si="2"/>
        <v>39.12552405</v>
      </c>
      <c r="O158" s="9">
        <f t="shared" si="3"/>
        <v>9.781381013</v>
      </c>
      <c r="P158" s="9">
        <v>1.154561707966452</v>
      </c>
      <c r="Q158" s="9">
        <v>1.161256756056446</v>
      </c>
      <c r="R158" s="9">
        <v>0.0</v>
      </c>
      <c r="S158" s="9">
        <v>1.152354357164876</v>
      </c>
      <c r="T158" s="9">
        <v>1.13630196674015</v>
      </c>
      <c r="U158" s="9">
        <v>2.336880098708892</v>
      </c>
      <c r="V158" s="9">
        <v>1.178937531821389</v>
      </c>
      <c r="W158" s="9">
        <v>1.158224748206599</v>
      </c>
      <c r="X158" s="9">
        <v>1.125831374209038</v>
      </c>
      <c r="Y158" s="9">
        <v>1.137533045928551</v>
      </c>
      <c r="Z158" s="9">
        <v>1.143278079994134</v>
      </c>
      <c r="AA158" s="9">
        <v>1.106877103220337</v>
      </c>
      <c r="AB158" s="9">
        <v>1.176440997023815</v>
      </c>
      <c r="AC158" s="9">
        <v>1.109901658970842</v>
      </c>
      <c r="AD158" s="9">
        <v>1.150882926377281</v>
      </c>
      <c r="AE158" s="9">
        <v>1.183821878187864</v>
      </c>
      <c r="AF158" s="9">
        <v>1.160189489627847</v>
      </c>
      <c r="AG158" s="9">
        <v>1.151185098976139</v>
      </c>
      <c r="AH158" s="9">
        <v>1.154071448283911</v>
      </c>
      <c r="AI158" s="9">
        <v>1.189373600423266</v>
      </c>
      <c r="AJ158" s="9">
        <v>1.131229792833238</v>
      </c>
      <c r="AK158" s="9">
        <v>1.144513598092713</v>
      </c>
      <c r="AL158" s="9">
        <v>1.199802179995192</v>
      </c>
      <c r="AM158" s="9">
        <v>1.132868960169668</v>
      </c>
      <c r="AN158" s="9">
        <v>1.14263791783324</v>
      </c>
      <c r="AO158" s="9">
        <v>1.192311589485503</v>
      </c>
      <c r="AP158" s="9">
        <v>1.128951804448676</v>
      </c>
      <c r="AQ158" s="9">
        <v>1.1288432694155</v>
      </c>
      <c r="AR158" s="9">
        <v>1.123435794703007</v>
      </c>
      <c r="AS158" s="9">
        <v>1.11248092310173</v>
      </c>
      <c r="AT158" s="9">
        <v>1.184992508416115</v>
      </c>
      <c r="AU158" s="9">
        <v>1.117722171063129</v>
      </c>
      <c r="AV158" s="9">
        <v>1.169646400619206</v>
      </c>
      <c r="AW158" s="9">
        <v>1.148183273383812</v>
      </c>
    </row>
    <row r="159" ht="15.0" customHeight="1">
      <c r="A159" s="5" t="s">
        <v>382</v>
      </c>
      <c r="B159" s="5" t="s">
        <v>383</v>
      </c>
      <c r="C159" s="5" t="s">
        <v>67</v>
      </c>
      <c r="D159" s="5" t="s">
        <v>83</v>
      </c>
      <c r="E159" s="5">
        <v>5.0</v>
      </c>
      <c r="F159" s="6">
        <v>0.3823529412</v>
      </c>
      <c r="G159" s="5">
        <v>79.0</v>
      </c>
      <c r="H159" s="5">
        <v>1365.0</v>
      </c>
      <c r="I159" s="5" t="b">
        <v>1</v>
      </c>
      <c r="J159" s="5" t="b">
        <v>0</v>
      </c>
      <c r="K159" s="7">
        <v>80.76</v>
      </c>
      <c r="L159" s="8">
        <v>0.07489090115483608</v>
      </c>
      <c r="M159" s="9">
        <f t="shared" si="1"/>
        <v>3.555821788</v>
      </c>
      <c r="N159" s="7">
        <f t="shared" si="2"/>
        <v>120.8979408</v>
      </c>
      <c r="O159" s="9">
        <f t="shared" si="3"/>
        <v>24.17958816</v>
      </c>
      <c r="P159" s="9">
        <v>4.30793847089739</v>
      </c>
      <c r="Q159" s="9">
        <v>3.181078200812328</v>
      </c>
      <c r="R159" s="9">
        <v>3.574504577371182</v>
      </c>
      <c r="S159" s="9">
        <v>4.100780942719607</v>
      </c>
      <c r="T159" s="9">
        <v>3.069405392272329</v>
      </c>
      <c r="U159" s="9">
        <v>4.347592334008811</v>
      </c>
      <c r="V159" s="9">
        <v>3.806765558123561</v>
      </c>
      <c r="W159" s="9">
        <v>2.860733007242207</v>
      </c>
      <c r="X159" s="9">
        <v>3.794235723658278</v>
      </c>
      <c r="Y159" s="9">
        <v>3.395555918030175</v>
      </c>
      <c r="Z159" s="9">
        <v>3.091744452828559</v>
      </c>
      <c r="AA159" s="9">
        <v>3.490933856031033</v>
      </c>
      <c r="AB159" s="9">
        <v>3.442244237025275</v>
      </c>
      <c r="AC159" s="9">
        <v>3.564811846049664</v>
      </c>
      <c r="AD159" s="9">
        <v>3.128250184406852</v>
      </c>
      <c r="AE159" s="9">
        <v>3.480868821008883</v>
      </c>
      <c r="AF159" s="9">
        <v>3.494507699367109</v>
      </c>
      <c r="AG159" s="9">
        <v>3.555853657843718</v>
      </c>
      <c r="AH159" s="9">
        <v>3.552639853414995</v>
      </c>
      <c r="AI159" s="9">
        <v>3.678268022155232</v>
      </c>
      <c r="AJ159" s="9">
        <v>3.300412627717722</v>
      </c>
      <c r="AK159" s="9">
        <v>3.015550961974716</v>
      </c>
      <c r="AL159" s="9">
        <v>4.114892155688409</v>
      </c>
      <c r="AM159" s="9">
        <v>3.005913703547602</v>
      </c>
      <c r="AN159" s="9">
        <v>2.940802752599724</v>
      </c>
      <c r="AO159" s="9">
        <v>3.968987017162925</v>
      </c>
      <c r="AP159" s="9">
        <v>4.028711724463202</v>
      </c>
      <c r="AQ159" s="9">
        <v>2.723869581496748</v>
      </c>
      <c r="AR159" s="9">
        <v>3.804242708812852</v>
      </c>
      <c r="AS159" s="9">
        <v>4.335090541085679</v>
      </c>
      <c r="AT159" s="9">
        <v>3.282285641832577</v>
      </c>
      <c r="AU159" s="9">
        <v>3.577695111783722</v>
      </c>
      <c r="AV159" s="9">
        <v>4.109134549909666</v>
      </c>
      <c r="AW159" s="9">
        <v>3.771638971801272</v>
      </c>
    </row>
    <row r="160" ht="15.0" customHeight="1">
      <c r="A160" s="5" t="s">
        <v>384</v>
      </c>
      <c r="B160" s="5" t="s">
        <v>385</v>
      </c>
      <c r="C160" s="5" t="s">
        <v>67</v>
      </c>
      <c r="D160" s="5" t="s">
        <v>83</v>
      </c>
      <c r="E160" s="5">
        <v>4.5</v>
      </c>
      <c r="F160" s="6">
        <v>0.2608695652</v>
      </c>
      <c r="G160" s="5">
        <v>90.0</v>
      </c>
      <c r="H160" s="5">
        <v>632.0</v>
      </c>
      <c r="I160" s="5" t="b">
        <v>0</v>
      </c>
      <c r="J160" s="5" t="b">
        <v>0</v>
      </c>
      <c r="K160" s="7">
        <v>35.481739129152</v>
      </c>
      <c r="L160" s="8">
        <v>0.08852069501996122</v>
      </c>
      <c r="M160" s="9">
        <f t="shared" si="1"/>
        <v>1.198269584</v>
      </c>
      <c r="N160" s="7">
        <f t="shared" si="2"/>
        <v>40.74116585</v>
      </c>
      <c r="O160" s="9">
        <f t="shared" si="3"/>
        <v>9.053592411</v>
      </c>
      <c r="P160" s="9">
        <v>1.223362055088808</v>
      </c>
      <c r="Q160" s="9">
        <v>1.170826248558711</v>
      </c>
      <c r="R160" s="9">
        <v>1.196226293740406</v>
      </c>
      <c r="S160" s="9">
        <v>1.246516359480863</v>
      </c>
      <c r="T160" s="9">
        <v>1.178551225729584</v>
      </c>
      <c r="U160" s="9">
        <v>1.234637628364674</v>
      </c>
      <c r="V160" s="9">
        <v>1.236180131812898</v>
      </c>
      <c r="W160" s="9">
        <v>1.157411966464782</v>
      </c>
      <c r="X160" s="9">
        <v>1.195354572103514</v>
      </c>
      <c r="Y160" s="9">
        <v>1.176185836540142</v>
      </c>
      <c r="Z160" s="9">
        <v>1.170564622928228</v>
      </c>
      <c r="AA160" s="9">
        <v>1.201190603357478</v>
      </c>
      <c r="AB160" s="9">
        <v>1.184798659389423</v>
      </c>
      <c r="AC160" s="9">
        <v>1.201676521469357</v>
      </c>
      <c r="AD160" s="9">
        <v>1.183578482213726</v>
      </c>
      <c r="AE160" s="9">
        <v>1.205307123088488</v>
      </c>
      <c r="AF160" s="9">
        <v>1.191717394191152</v>
      </c>
      <c r="AG160" s="9">
        <v>1.208312280522531</v>
      </c>
      <c r="AH160" s="9">
        <v>1.207254465437333</v>
      </c>
      <c r="AI160" s="9">
        <v>1.19803031790116</v>
      </c>
      <c r="AJ160" s="9">
        <v>1.180175877165418</v>
      </c>
      <c r="AK160" s="9">
        <v>1.173200613638852</v>
      </c>
      <c r="AL160" s="9">
        <v>1.231837837245561</v>
      </c>
      <c r="AM160" s="9">
        <v>1.176293410424497</v>
      </c>
      <c r="AN160" s="9">
        <v>1.154414195136861</v>
      </c>
      <c r="AO160" s="9">
        <v>1.21662762928656</v>
      </c>
      <c r="AP160" s="9">
        <v>1.225836481435248</v>
      </c>
      <c r="AQ160" s="9">
        <v>1.159968389522093</v>
      </c>
      <c r="AR160" s="9">
        <v>1.198329814563698</v>
      </c>
      <c r="AS160" s="9">
        <v>1.230677573714871</v>
      </c>
      <c r="AT160" s="9">
        <v>1.199488718205183</v>
      </c>
      <c r="AU160" s="9">
        <v>1.197682093577137</v>
      </c>
      <c r="AV160" s="9">
        <v>1.239092103057287</v>
      </c>
      <c r="AW160" s="9">
        <v>1.189858324309151</v>
      </c>
    </row>
    <row r="161" ht="15.0" customHeight="1">
      <c r="A161" s="5" t="s">
        <v>386</v>
      </c>
      <c r="B161" s="5" t="s">
        <v>289</v>
      </c>
      <c r="C161" s="5" t="s">
        <v>67</v>
      </c>
      <c r="D161" s="5" t="s">
        <v>52</v>
      </c>
      <c r="E161" s="5">
        <v>7.0</v>
      </c>
      <c r="F161" s="6">
        <v>0.696969697</v>
      </c>
      <c r="G161" s="5">
        <v>74.0</v>
      </c>
      <c r="H161" s="5">
        <v>2163.0</v>
      </c>
      <c r="I161" s="5" t="b">
        <v>1</v>
      </c>
      <c r="J161" s="5" t="b">
        <v>0</v>
      </c>
      <c r="K161" s="7">
        <v>58.53030303185</v>
      </c>
      <c r="L161" s="8">
        <v>0.08902051677838949</v>
      </c>
      <c r="M161" s="9">
        <f t="shared" si="1"/>
        <v>2.661270529</v>
      </c>
      <c r="N161" s="7">
        <f t="shared" si="2"/>
        <v>90.48319797</v>
      </c>
      <c r="O161" s="9">
        <f t="shared" si="3"/>
        <v>12.92617114</v>
      </c>
      <c r="P161" s="9">
        <v>3.015828310806472</v>
      </c>
      <c r="Q161" s="9">
        <v>2.386926007935421</v>
      </c>
      <c r="R161" s="9">
        <v>2.652643400204013</v>
      </c>
      <c r="S161" s="9">
        <v>3.114743169093771</v>
      </c>
      <c r="T161" s="9">
        <v>2.409147443905764</v>
      </c>
      <c r="U161" s="9">
        <v>3.099592849443381</v>
      </c>
      <c r="V161" s="9">
        <v>2.972693874144981</v>
      </c>
      <c r="W161" s="9">
        <v>2.218083123957264</v>
      </c>
      <c r="X161" s="9">
        <v>2.702598889122347</v>
      </c>
      <c r="Y161" s="9">
        <v>2.476291763738511</v>
      </c>
      <c r="Z161" s="9">
        <v>2.362588461297273</v>
      </c>
      <c r="AA161" s="9">
        <v>2.663933205445211</v>
      </c>
      <c r="AB161" s="9">
        <v>2.5444287208462</v>
      </c>
      <c r="AC161" s="9">
        <v>2.685822465821313</v>
      </c>
      <c r="AD161" s="9">
        <v>2.456920698822492</v>
      </c>
      <c r="AE161" s="9">
        <v>2.688298063290396</v>
      </c>
      <c r="AF161" s="9">
        <v>2.602901678318837</v>
      </c>
      <c r="AG161" s="9">
        <v>2.726938696457131</v>
      </c>
      <c r="AH161" s="9">
        <v>2.719208589321743</v>
      </c>
      <c r="AI161" s="9">
        <v>2.690720137899858</v>
      </c>
      <c r="AJ161" s="9">
        <v>2.47828053359638</v>
      </c>
      <c r="AK161" s="9">
        <v>2.360524049854593</v>
      </c>
      <c r="AL161" s="9">
        <v>3.022347786740232</v>
      </c>
      <c r="AM161" s="9">
        <v>2.378304060731142</v>
      </c>
      <c r="AN161" s="9">
        <v>2.218763981817144</v>
      </c>
      <c r="AO161" s="9">
        <v>2.885946244999436</v>
      </c>
      <c r="AP161" s="9">
        <v>2.961282036170633</v>
      </c>
      <c r="AQ161" s="9">
        <v>2.200131628950534</v>
      </c>
      <c r="AR161" s="9">
        <v>2.724585936350228</v>
      </c>
      <c r="AS161" s="9">
        <v>3.070535106875635</v>
      </c>
      <c r="AT161" s="9">
        <v>2.599958388005157</v>
      </c>
      <c r="AU161" s="9">
        <v>2.66296967510617</v>
      </c>
      <c r="AV161" s="9">
        <v>3.068318536395573</v>
      </c>
      <c r="AW161" s="9">
        <v>2.660940456567479</v>
      </c>
    </row>
    <row r="162" ht="15.0" customHeight="1">
      <c r="A162" s="5" t="s">
        <v>387</v>
      </c>
      <c r="B162" s="5" t="s">
        <v>388</v>
      </c>
      <c r="C162" s="5" t="s">
        <v>67</v>
      </c>
      <c r="D162" s="5" t="s">
        <v>52</v>
      </c>
      <c r="E162" s="5">
        <v>7.0</v>
      </c>
      <c r="F162" s="6">
        <v>0.5806451613</v>
      </c>
      <c r="G162" s="5">
        <v>67.0</v>
      </c>
      <c r="H162" s="5">
        <v>1541.0</v>
      </c>
      <c r="I162" s="5" t="b">
        <v>1</v>
      </c>
      <c r="J162" s="5" t="b">
        <v>0</v>
      </c>
      <c r="K162" s="7">
        <v>48.527419355265</v>
      </c>
      <c r="L162" s="8">
        <v>0.09147820636746334</v>
      </c>
      <c r="M162" s="9">
        <f t="shared" si="1"/>
        <v>2.429167516</v>
      </c>
      <c r="N162" s="7">
        <f t="shared" si="2"/>
        <v>82.59169556</v>
      </c>
      <c r="O162" s="9">
        <f t="shared" si="3"/>
        <v>11.79881365</v>
      </c>
      <c r="P162" s="9">
        <v>2.824907583615567</v>
      </c>
      <c r="Q162" s="9">
        <v>2.110038414037037</v>
      </c>
      <c r="R162" s="9">
        <v>2.417232585857016</v>
      </c>
      <c r="S162" s="9">
        <v>2.961308640279066</v>
      </c>
      <c r="T162" s="9">
        <v>2.144742053866355</v>
      </c>
      <c r="U162" s="9">
        <v>2.927007304672774</v>
      </c>
      <c r="V162" s="9">
        <v>2.802304345674871</v>
      </c>
      <c r="W162" s="9">
        <v>1.919226450720201</v>
      </c>
      <c r="X162" s="9">
        <v>2.46589792404723</v>
      </c>
      <c r="Y162" s="9">
        <v>2.208231207197866</v>
      </c>
      <c r="Z162" s="9">
        <v>2.085224900129586</v>
      </c>
      <c r="AA162" s="9">
        <v>2.436537093291794</v>
      </c>
      <c r="AB162" s="9">
        <v>2.290382828479122</v>
      </c>
      <c r="AC162" s="9">
        <v>2.459257756791624</v>
      </c>
      <c r="AD162" s="9">
        <v>2.20071364884897</v>
      </c>
      <c r="AE162" s="9">
        <v>2.467581785375236</v>
      </c>
      <c r="AF162" s="9">
        <v>2.360122290015087</v>
      </c>
      <c r="AG162" s="9">
        <v>2.511145919026022</v>
      </c>
      <c r="AH162" s="9">
        <v>2.501695990755553</v>
      </c>
      <c r="AI162" s="9">
        <v>2.458298528950156</v>
      </c>
      <c r="AJ162" s="9">
        <v>2.21664576628166</v>
      </c>
      <c r="AK162" s="9">
        <v>2.087398014563978</v>
      </c>
      <c r="AL162" s="9">
        <v>2.845082122061628</v>
      </c>
      <c r="AM162" s="9">
        <v>2.110195488733868</v>
      </c>
      <c r="AN162" s="9">
        <v>1.915084435105487</v>
      </c>
      <c r="AO162" s="9">
        <v>2.683894472864502</v>
      </c>
      <c r="AP162" s="9">
        <v>2.774220383622972</v>
      </c>
      <c r="AQ162" s="9">
        <v>1.905348577004916</v>
      </c>
      <c r="AR162" s="9">
        <v>2.492722744996895</v>
      </c>
      <c r="AS162" s="9">
        <v>2.891510941314496</v>
      </c>
      <c r="AT162" s="9">
        <v>2.369678999550012</v>
      </c>
      <c r="AU162" s="9">
        <v>2.429925030586414</v>
      </c>
      <c r="AV162" s="9">
        <v>2.902831141804241</v>
      </c>
      <c r="AW162" s="9">
        <v>2.415300188457844</v>
      </c>
    </row>
    <row r="163" ht="15.0" customHeight="1">
      <c r="A163" s="5" t="s">
        <v>389</v>
      </c>
      <c r="B163" s="5" t="s">
        <v>390</v>
      </c>
      <c r="C163" s="5" t="s">
        <v>67</v>
      </c>
      <c r="D163" s="5" t="s">
        <v>52</v>
      </c>
      <c r="E163" s="5">
        <v>6.5</v>
      </c>
      <c r="F163" s="6">
        <v>0.1935483871</v>
      </c>
      <c r="G163" s="5">
        <v>55.0</v>
      </c>
      <c r="H163" s="5">
        <v>623.0</v>
      </c>
      <c r="I163" s="5" t="b">
        <v>0</v>
      </c>
      <c r="J163" s="5" t="b">
        <v>0</v>
      </c>
      <c r="K163" s="7">
        <v>29.153225806555</v>
      </c>
      <c r="L163" s="8">
        <v>0.06373480870357473</v>
      </c>
      <c r="M163" s="9">
        <f t="shared" si="1"/>
        <v>1.362593794</v>
      </c>
      <c r="N163" s="7">
        <f t="shared" si="2"/>
        <v>46.328189</v>
      </c>
      <c r="O163" s="9">
        <f t="shared" si="3"/>
        <v>7.127413692</v>
      </c>
      <c r="P163" s="9">
        <v>0.0</v>
      </c>
      <c r="Q163" s="9">
        <v>1.308694108574184</v>
      </c>
      <c r="R163" s="9">
        <v>1.399307776131412</v>
      </c>
      <c r="S163" s="9">
        <v>1.578715618355287</v>
      </c>
      <c r="T163" s="9">
        <v>1.336252662436643</v>
      </c>
      <c r="U163" s="9">
        <v>1.536338709784285</v>
      </c>
      <c r="V163" s="9">
        <v>1.54184153049438</v>
      </c>
      <c r="W163" s="9">
        <v>1.260839181959561</v>
      </c>
      <c r="X163" s="9">
        <v>1.396197943292816</v>
      </c>
      <c r="Y163" s="9">
        <v>1.32781422903535</v>
      </c>
      <c r="Z163" s="9">
        <v>1.307760769372011</v>
      </c>
      <c r="AA163" s="9">
        <v>1.417017756490684</v>
      </c>
      <c r="AB163" s="9">
        <v>1.358540137623753</v>
      </c>
      <c r="AC163" s="9">
        <v>1.418751250346104</v>
      </c>
      <c r="AD163" s="9">
        <v>1.354187203281763</v>
      </c>
      <c r="AE163" s="9">
        <v>1.431703279596264</v>
      </c>
      <c r="AF163" s="9">
        <v>1.383222453373817</v>
      </c>
      <c r="AG163" s="9">
        <v>1.442424061182973</v>
      </c>
      <c r="AH163" s="9">
        <v>1.438650347247366</v>
      </c>
      <c r="AI163" s="9">
        <v>1.405743561752986</v>
      </c>
      <c r="AJ163" s="9">
        <v>1.342048542878978</v>
      </c>
      <c r="AK163" s="9">
        <v>1.317164563114415</v>
      </c>
      <c r="AL163" s="9">
        <v>1.526350564492327</v>
      </c>
      <c r="AM163" s="9">
        <v>1.328197994659589</v>
      </c>
      <c r="AN163" s="9">
        <v>1.250144750017501</v>
      </c>
      <c r="AO163" s="9">
        <v>1.472088742609173</v>
      </c>
      <c r="AP163" s="9">
        <v>1.504940962407044</v>
      </c>
      <c r="AQ163" s="9">
        <v>1.269959121211391</v>
      </c>
      <c r="AR163" s="9">
        <v>1.406812004380536</v>
      </c>
      <c r="AS163" s="9">
        <v>1.522211369735129</v>
      </c>
      <c r="AT163" s="9">
        <v>1.410946347786194</v>
      </c>
      <c r="AU163" s="9">
        <v>1.404501285099279</v>
      </c>
      <c r="AV163" s="9">
        <v>1.552229873994866</v>
      </c>
      <c r="AW163" s="9">
        <v>1.376590294295033</v>
      </c>
    </row>
    <row r="164" ht="15.0" customHeight="1">
      <c r="A164" s="5" t="s">
        <v>391</v>
      </c>
      <c r="B164" s="5" t="s">
        <v>363</v>
      </c>
      <c r="C164" s="5" t="s">
        <v>67</v>
      </c>
      <c r="D164" s="5" t="s">
        <v>52</v>
      </c>
      <c r="E164" s="5">
        <v>5.0</v>
      </c>
      <c r="F164" s="6"/>
      <c r="G164" s="5"/>
      <c r="H164" s="5">
        <v>1472.0</v>
      </c>
      <c r="I164" s="5" t="b">
        <v>0</v>
      </c>
      <c r="J164" s="5" t="b">
        <v>0</v>
      </c>
      <c r="K164" s="7">
        <v>22.95</v>
      </c>
      <c r="L164" s="8">
        <v>0.05503402075086383</v>
      </c>
      <c r="M164" s="9">
        <f t="shared" si="1"/>
        <v>1.199123595</v>
      </c>
      <c r="N164" s="7">
        <f t="shared" si="2"/>
        <v>40.77020221</v>
      </c>
      <c r="O164" s="9">
        <f t="shared" si="3"/>
        <v>8.154040443</v>
      </c>
      <c r="P164" s="9">
        <v>1.235797830702103</v>
      </c>
      <c r="Q164" s="9">
        <v>1.159013421709436</v>
      </c>
      <c r="R164" s="9">
        <v>1.196137196644655</v>
      </c>
      <c r="S164" s="9">
        <v>1.269639313222444</v>
      </c>
      <c r="T164" s="9">
        <v>1.170303965163975</v>
      </c>
      <c r="U164" s="9">
        <v>1.252277795267698</v>
      </c>
      <c r="V164" s="9">
        <v>1.254532261763289</v>
      </c>
      <c r="W164" s="9">
        <v>1.139407598735096</v>
      </c>
      <c r="X164" s="9">
        <v>1.194863120255315</v>
      </c>
      <c r="Y164" s="9">
        <v>1.166846799033958</v>
      </c>
      <c r="Z164" s="9">
        <v>1.158631039278466</v>
      </c>
      <c r="AA164" s="9">
        <v>1.203392849601749</v>
      </c>
      <c r="AB164" s="9">
        <v>1.17943498518585</v>
      </c>
      <c r="AC164" s="9">
        <v>1.204103049701525</v>
      </c>
      <c r="AD164" s="9">
        <v>1.177651618954505</v>
      </c>
      <c r="AE164" s="9">
        <v>1.209409403939241</v>
      </c>
      <c r="AF164" s="9">
        <v>1.189547154348484</v>
      </c>
      <c r="AG164" s="9">
        <v>1.213801631883257</v>
      </c>
      <c r="AH164" s="9">
        <v>1.212255568131595</v>
      </c>
      <c r="AI164" s="9">
        <v>1.198773892226982</v>
      </c>
      <c r="AJ164" s="9">
        <v>1.172678496146917</v>
      </c>
      <c r="AK164" s="9">
        <v>1.162483706672264</v>
      </c>
      <c r="AL164" s="9">
        <v>1.248185723201365</v>
      </c>
      <c r="AM164" s="9">
        <v>1.167004025079942</v>
      </c>
      <c r="AN164" s="9">
        <v>1.135026166053031</v>
      </c>
      <c r="AO164" s="9">
        <v>1.225955040816801</v>
      </c>
      <c r="AP164" s="9">
        <v>1.239414361543757</v>
      </c>
      <c r="AQ164" s="9">
        <v>1.143143972963564</v>
      </c>
      <c r="AR164" s="9">
        <v>1.199211625570148</v>
      </c>
      <c r="AS164" s="9">
        <v>1.246489924557278</v>
      </c>
      <c r="AT164" s="9">
        <v>1.200905436650024</v>
      </c>
      <c r="AU164" s="9">
        <v>1.198264940320027</v>
      </c>
      <c r="AV164" s="9">
        <v>1.258788292188481</v>
      </c>
      <c r="AW164" s="9">
        <v>1.186830005957819</v>
      </c>
    </row>
    <row r="165" ht="15.0" customHeight="1">
      <c r="A165" s="5" t="s">
        <v>392</v>
      </c>
      <c r="B165" s="5" t="s">
        <v>393</v>
      </c>
      <c r="C165" s="5" t="s">
        <v>141</v>
      </c>
      <c r="D165" s="5" t="s">
        <v>83</v>
      </c>
      <c r="E165" s="5">
        <v>5.0</v>
      </c>
      <c r="F165" s="6">
        <v>0.2121212121</v>
      </c>
      <c r="G165" s="5">
        <v>80.0</v>
      </c>
      <c r="H165" s="5">
        <v>971.0</v>
      </c>
      <c r="I165" s="5" t="b">
        <v>0</v>
      </c>
      <c r="J165" s="5" t="b">
        <v>0</v>
      </c>
      <c r="K165" s="7">
        <v>29.764848483496</v>
      </c>
      <c r="L165" s="8">
        <v>0.05345857782057763</v>
      </c>
      <c r="M165" s="9">
        <f t="shared" si="1"/>
        <v>1.174746745</v>
      </c>
      <c r="N165" s="7">
        <f t="shared" si="2"/>
        <v>39.94138932</v>
      </c>
      <c r="O165" s="9">
        <f t="shared" si="3"/>
        <v>7.988277863</v>
      </c>
      <c r="P165" s="9">
        <v>1.175372228522229</v>
      </c>
      <c r="Q165" s="9">
        <v>1.158977220190388</v>
      </c>
      <c r="R165" s="9">
        <v>1.099010735347419</v>
      </c>
      <c r="S165" s="9">
        <v>1.24319834158629</v>
      </c>
      <c r="T165" s="9">
        <v>1.131546881636388</v>
      </c>
      <c r="U165" s="9">
        <v>1.193878113776175</v>
      </c>
      <c r="V165" s="9">
        <v>1.257752164602128</v>
      </c>
      <c r="W165" s="9">
        <v>1.162706966899281</v>
      </c>
      <c r="X165" s="9">
        <v>1.174673605765197</v>
      </c>
      <c r="Y165" s="9">
        <v>1.131762701033509</v>
      </c>
      <c r="Z165" s="9">
        <v>1.212682962026922</v>
      </c>
      <c r="AA165" s="9">
        <v>1.109432835401942</v>
      </c>
      <c r="AB165" s="9">
        <v>1.196000348325202</v>
      </c>
      <c r="AC165" s="9">
        <v>1.248815404082543</v>
      </c>
      <c r="AD165" s="9">
        <v>1.178298134528692</v>
      </c>
      <c r="AE165" s="9">
        <v>1.139551874366652</v>
      </c>
      <c r="AF165" s="9">
        <v>1.17000403113534</v>
      </c>
      <c r="AG165" s="9">
        <v>1.272647030163609</v>
      </c>
      <c r="AH165" s="9">
        <v>1.120269358842868</v>
      </c>
      <c r="AI165" s="9">
        <v>1.148826300762797</v>
      </c>
      <c r="AJ165" s="9">
        <v>1.189971271011949</v>
      </c>
      <c r="AK165" s="9">
        <v>1.160250167805364</v>
      </c>
      <c r="AL165" s="9">
        <v>1.182687400420877</v>
      </c>
      <c r="AM165" s="9">
        <v>1.175973091729279</v>
      </c>
      <c r="AN165" s="9">
        <v>1.251910041468241</v>
      </c>
      <c r="AO165" s="9">
        <v>1.120794243541233</v>
      </c>
      <c r="AP165" s="9">
        <v>1.146378328338855</v>
      </c>
      <c r="AQ165" s="9">
        <v>1.13629242812175</v>
      </c>
      <c r="AR165" s="9">
        <v>1.231158161010446</v>
      </c>
      <c r="AS165" s="9">
        <v>1.171752916929118</v>
      </c>
      <c r="AT165" s="9">
        <v>1.226193859446862</v>
      </c>
      <c r="AU165" s="9">
        <v>1.087867669436109</v>
      </c>
      <c r="AV165" s="9">
        <v>1.240870570518115</v>
      </c>
      <c r="AW165" s="9">
        <v>1.093881928422594</v>
      </c>
    </row>
    <row r="166" ht="15.0" customHeight="1">
      <c r="A166" s="5" t="s">
        <v>394</v>
      </c>
      <c r="B166" s="5" t="s">
        <v>395</v>
      </c>
      <c r="C166" s="5" t="s">
        <v>141</v>
      </c>
      <c r="D166" s="5" t="s">
        <v>52</v>
      </c>
      <c r="E166" s="5">
        <v>6.0</v>
      </c>
      <c r="F166" s="6"/>
      <c r="G166" s="5"/>
      <c r="H166" s="5">
        <v>1749.0</v>
      </c>
      <c r="I166" s="5" t="b">
        <v>1</v>
      </c>
      <c r="J166" s="5" t="b">
        <v>0</v>
      </c>
      <c r="K166" s="7">
        <v>74.05</v>
      </c>
      <c r="L166" s="8">
        <v>0.05588454255076908</v>
      </c>
      <c r="M166" s="9">
        <f t="shared" si="1"/>
        <v>2.592117571</v>
      </c>
      <c r="N166" s="7">
        <f t="shared" si="2"/>
        <v>88.13199742</v>
      </c>
      <c r="O166" s="9">
        <f t="shared" si="3"/>
        <v>14.68866624</v>
      </c>
      <c r="P166" s="9">
        <v>2.620584269047124</v>
      </c>
      <c r="Q166" s="9">
        <v>2.621769872877873</v>
      </c>
      <c r="R166" s="9">
        <v>2.301471884980441</v>
      </c>
      <c r="S166" s="9">
        <v>2.814566199290703</v>
      </c>
      <c r="T166" s="9">
        <v>2.496318556602878</v>
      </c>
      <c r="U166" s="9">
        <v>2.61475122398598</v>
      </c>
      <c r="V166" s="9">
        <v>2.831972607987204</v>
      </c>
      <c r="W166" s="9">
        <v>2.560331256713922</v>
      </c>
      <c r="X166" s="9">
        <v>2.59565875527995</v>
      </c>
      <c r="Y166" s="9">
        <v>2.406938369075287</v>
      </c>
      <c r="Z166" s="9">
        <v>2.739346798094999</v>
      </c>
      <c r="AA166" s="9">
        <v>2.380520232579089</v>
      </c>
      <c r="AB166" s="9">
        <v>2.618280399187112</v>
      </c>
      <c r="AC166" s="9">
        <v>2.879391497631537</v>
      </c>
      <c r="AD166" s="9">
        <v>2.531130012111094</v>
      </c>
      <c r="AE166" s="9">
        <v>2.484540568774981</v>
      </c>
      <c r="AF166" s="9">
        <v>2.641547271090801</v>
      </c>
      <c r="AG166" s="9">
        <v>2.849193687549694</v>
      </c>
      <c r="AH166" s="9">
        <v>2.411193436706894</v>
      </c>
      <c r="AI166" s="9">
        <v>2.529877382296234</v>
      </c>
      <c r="AJ166" s="9">
        <v>2.592710320145172</v>
      </c>
      <c r="AK166" s="9">
        <v>2.556538578620457</v>
      </c>
      <c r="AL166" s="9">
        <v>2.603043284637498</v>
      </c>
      <c r="AM166" s="9">
        <v>2.65171510350916</v>
      </c>
      <c r="AN166" s="9">
        <v>2.750944613012797</v>
      </c>
      <c r="AO166" s="9">
        <v>2.432331856610053</v>
      </c>
      <c r="AP166" s="9">
        <v>2.453865479613828</v>
      </c>
      <c r="AQ166" s="9">
        <v>2.427224241381623</v>
      </c>
      <c r="AR166" s="9">
        <v>2.777859964483311</v>
      </c>
      <c r="AS166" s="9">
        <v>2.591094154132266</v>
      </c>
      <c r="AT166" s="9">
        <v>2.840364838331284</v>
      </c>
      <c r="AU166" s="9">
        <v>2.334376253132624</v>
      </c>
      <c r="AV166" s="9">
        <v>2.866039690598</v>
      </c>
      <c r="AW166" s="9">
        <v>2.324504760081821</v>
      </c>
    </row>
    <row r="167" ht="15.0" customHeight="1">
      <c r="A167" s="5" t="s">
        <v>396</v>
      </c>
      <c r="B167" s="5" t="s">
        <v>397</v>
      </c>
      <c r="C167" s="5" t="s">
        <v>79</v>
      </c>
      <c r="D167" s="5" t="s">
        <v>103</v>
      </c>
      <c r="E167" s="5">
        <v>5.0</v>
      </c>
      <c r="F167" s="6">
        <v>1.0</v>
      </c>
      <c r="G167" s="5">
        <v>90.0</v>
      </c>
      <c r="H167" s="5">
        <v>3016.0</v>
      </c>
      <c r="I167" s="5" t="b">
        <v>1</v>
      </c>
      <c r="J167" s="5" t="b">
        <v>0</v>
      </c>
      <c r="K167" s="7">
        <v>90.0</v>
      </c>
      <c r="L167" s="8">
        <v>0.0689453976704542</v>
      </c>
      <c r="M167" s="9">
        <f t="shared" si="1"/>
        <v>4.113182682</v>
      </c>
      <c r="N167" s="7">
        <f t="shared" si="2"/>
        <v>139.8482112</v>
      </c>
      <c r="O167" s="9">
        <f t="shared" si="3"/>
        <v>27.96964224</v>
      </c>
      <c r="P167" s="9">
        <v>3.888059585775902</v>
      </c>
      <c r="Q167" s="9">
        <v>4.354073723866573</v>
      </c>
      <c r="R167" s="9">
        <v>0.0</v>
      </c>
      <c r="S167" s="9">
        <v>4.231641556881639</v>
      </c>
      <c r="T167" s="9">
        <v>8.05017560824474</v>
      </c>
      <c r="U167" s="9">
        <v>4.508873616431902</v>
      </c>
      <c r="V167" s="9">
        <v>3.907550061200285</v>
      </c>
      <c r="W167" s="9">
        <v>4.107533933100006</v>
      </c>
      <c r="X167" s="9">
        <v>4.161596075678434</v>
      </c>
      <c r="Y167" s="9">
        <v>3.88157209320495</v>
      </c>
      <c r="Z167" s="9">
        <v>4.071555037440717</v>
      </c>
      <c r="AA167" s="9">
        <v>4.107240589574483</v>
      </c>
      <c r="AB167" s="9">
        <v>4.516027608527573</v>
      </c>
      <c r="AC167" s="9">
        <v>3.86438354630197</v>
      </c>
      <c r="AD167" s="9">
        <v>4.081027242572666</v>
      </c>
      <c r="AE167" s="9">
        <v>4.303235968898585</v>
      </c>
      <c r="AF167" s="9">
        <v>3.8267630555698</v>
      </c>
      <c r="AG167" s="9">
        <v>4.36937274273775</v>
      </c>
      <c r="AH167" s="9">
        <v>3.945360235163644</v>
      </c>
      <c r="AI167" s="9">
        <v>4.081286382025744</v>
      </c>
      <c r="AJ167" s="9">
        <v>4.514467293023721</v>
      </c>
      <c r="AK167" s="9">
        <v>3.775907099555976</v>
      </c>
      <c r="AL167" s="9">
        <v>4.325312527369976</v>
      </c>
      <c r="AM167" s="9">
        <v>4.226702693138085</v>
      </c>
      <c r="AN167" s="9">
        <v>4.071898643780166</v>
      </c>
      <c r="AO167" s="9">
        <v>4.233021361915639</v>
      </c>
      <c r="AP167" s="9">
        <v>4.337010735251829</v>
      </c>
      <c r="AQ167" s="9">
        <v>3.906228510333173</v>
      </c>
      <c r="AR167" s="9">
        <v>3.957948021036112</v>
      </c>
      <c r="AS167" s="9">
        <v>4.046699228792252</v>
      </c>
      <c r="AT167" s="9">
        <v>4.053839778559859</v>
      </c>
      <c r="AU167" s="9">
        <v>4.057196622480898</v>
      </c>
      <c r="AV167" s="9">
        <v>3.989702104470006</v>
      </c>
      <c r="AW167" s="9">
        <v>4.094947895762795</v>
      </c>
    </row>
    <row r="168" ht="15.0" customHeight="1">
      <c r="A168" s="5" t="s">
        <v>398</v>
      </c>
      <c r="B168" s="5" t="s">
        <v>399</v>
      </c>
      <c r="C168" s="5" t="s">
        <v>79</v>
      </c>
      <c r="D168" s="5" t="s">
        <v>83</v>
      </c>
      <c r="E168" s="5">
        <v>5.5</v>
      </c>
      <c r="F168" s="6">
        <v>0.6</v>
      </c>
      <c r="G168" s="10">
        <v>84.0</v>
      </c>
      <c r="H168" s="5">
        <v>1773.0</v>
      </c>
      <c r="I168" s="5" t="b">
        <v>1</v>
      </c>
      <c r="J168" s="5" t="b">
        <v>0</v>
      </c>
      <c r="K168" s="7">
        <v>56.896</v>
      </c>
      <c r="L168" s="8">
        <v>0.06159000273205521</v>
      </c>
      <c r="M168" s="9">
        <f t="shared" si="1"/>
        <v>3.044195951</v>
      </c>
      <c r="N168" s="7">
        <f t="shared" si="2"/>
        <v>103.5026623</v>
      </c>
      <c r="O168" s="9">
        <f t="shared" si="3"/>
        <v>18.81866588</v>
      </c>
      <c r="P168" s="9">
        <v>2.558388067513369</v>
      </c>
      <c r="Q168" s="9">
        <v>3.564012099436211</v>
      </c>
      <c r="R168" s="9">
        <v>0.0</v>
      </c>
      <c r="S168" s="9">
        <v>3.289732228682482</v>
      </c>
      <c r="T168" s="9">
        <v>5.774216107915477</v>
      </c>
      <c r="U168" s="9">
        <v>3.766869680206581</v>
      </c>
      <c r="V168" s="9">
        <v>2.616594424670323</v>
      </c>
      <c r="W168" s="9">
        <v>3.069108169166751</v>
      </c>
      <c r="X168" s="9">
        <v>3.172079703619699</v>
      </c>
      <c r="Y168" s="9">
        <v>2.518299053376896</v>
      </c>
      <c r="Z168" s="9">
        <v>2.991727769390034</v>
      </c>
      <c r="AA168" s="9">
        <v>3.071073593981627</v>
      </c>
      <c r="AB168" s="9">
        <v>3.796583199169894</v>
      </c>
      <c r="AC168" s="9">
        <v>2.491704917339866</v>
      </c>
      <c r="AD168" s="9">
        <v>3.037223381766226</v>
      </c>
      <c r="AE168" s="9">
        <v>3.444737253046799</v>
      </c>
      <c r="AF168" s="9">
        <v>2.352144684868733</v>
      </c>
      <c r="AG168" s="9">
        <v>3.575115201669091</v>
      </c>
      <c r="AH168" s="9">
        <v>2.685710049462796</v>
      </c>
      <c r="AI168" s="9">
        <v>3.039561451445474</v>
      </c>
      <c r="AJ168" s="9">
        <v>3.787505703364049</v>
      </c>
      <c r="AK168" s="9">
        <v>2.19343474620421</v>
      </c>
      <c r="AL168" s="9">
        <v>3.495919695711382</v>
      </c>
      <c r="AM168" s="9">
        <v>3.271820611834368</v>
      </c>
      <c r="AN168" s="9">
        <v>2.99028382841616</v>
      </c>
      <c r="AO168" s="9">
        <v>3.29722452348966</v>
      </c>
      <c r="AP168" s="9">
        <v>3.550201892352896</v>
      </c>
      <c r="AQ168" s="9">
        <v>2.590751013046565</v>
      </c>
      <c r="AR168" s="9">
        <v>2.764480126174793</v>
      </c>
      <c r="AS168" s="9">
        <v>2.965547675429816</v>
      </c>
      <c r="AT168" s="9">
        <v>2.94445226042072</v>
      </c>
      <c r="AU168" s="9">
        <v>2.979591424532765</v>
      </c>
      <c r="AV168" s="9">
        <v>2.802049414349719</v>
      </c>
      <c r="AW168" s="9">
        <v>3.054518387093111</v>
      </c>
    </row>
    <row r="169" ht="15.0" customHeight="1">
      <c r="A169" s="5" t="s">
        <v>400</v>
      </c>
      <c r="B169" s="5" t="s">
        <v>401</v>
      </c>
      <c r="C169" s="5" t="s">
        <v>79</v>
      </c>
      <c r="D169" s="5" t="s">
        <v>52</v>
      </c>
      <c r="E169" s="5">
        <v>7.0</v>
      </c>
      <c r="F169" s="6">
        <v>0.9032258065</v>
      </c>
      <c r="G169" s="5">
        <v>75.0</v>
      </c>
      <c r="H169" s="5">
        <v>2224.0</v>
      </c>
      <c r="I169" s="5" t="b">
        <v>1</v>
      </c>
      <c r="J169" s="5" t="b">
        <v>0</v>
      </c>
      <c r="K169" s="7">
        <v>69.962903228325</v>
      </c>
      <c r="L169" s="8">
        <v>0.1121187112881618</v>
      </c>
      <c r="M169" s="9">
        <f t="shared" si="1"/>
        <v>4.147978384</v>
      </c>
      <c r="N169" s="7">
        <f t="shared" si="2"/>
        <v>141.0312651</v>
      </c>
      <c r="O169" s="9">
        <f t="shared" si="3"/>
        <v>20.14732358</v>
      </c>
      <c r="P169" s="9">
        <v>3.707922065195898</v>
      </c>
      <c r="Q169" s="9">
        <v>4.897147942049306</v>
      </c>
      <c r="R169" s="9">
        <v>0.0</v>
      </c>
      <c r="S169" s="9">
        <v>4.156434722672532</v>
      </c>
      <c r="T169" s="9">
        <v>8.387520884819972</v>
      </c>
      <c r="U169" s="9">
        <v>4.709716054317972</v>
      </c>
      <c r="V169" s="9">
        <v>3.80004826971805</v>
      </c>
      <c r="W169" s="9">
        <v>4.111984704027771</v>
      </c>
      <c r="X169" s="9">
        <v>4.166541878148267</v>
      </c>
      <c r="Y169" s="9">
        <v>3.492679607048036</v>
      </c>
      <c r="Z169" s="9">
        <v>4.022764080999597</v>
      </c>
      <c r="AA169" s="9">
        <v>4.134763042660591</v>
      </c>
      <c r="AB169" s="9">
        <v>4.889935720689076</v>
      </c>
      <c r="AC169" s="9">
        <v>3.655928950448691</v>
      </c>
      <c r="AD169" s="9">
        <v>4.272288296563209</v>
      </c>
      <c r="AE169" s="9">
        <v>4.522359999926521</v>
      </c>
      <c r="AF169" s="9">
        <v>3.330623673820027</v>
      </c>
      <c r="AG169" s="9">
        <v>4.789116108766801</v>
      </c>
      <c r="AH169" s="9">
        <v>3.623129270624484</v>
      </c>
      <c r="AI169" s="9">
        <v>4.289077836602411</v>
      </c>
      <c r="AJ169" s="9">
        <v>4.826997083623374</v>
      </c>
      <c r="AK169" s="9">
        <v>3.328153114813122</v>
      </c>
      <c r="AL169" s="9">
        <v>4.67659592753606</v>
      </c>
      <c r="AM169" s="9">
        <v>4.067689382718657</v>
      </c>
      <c r="AN169" s="9">
        <v>4.003658420559733</v>
      </c>
      <c r="AO169" s="9">
        <v>4.203897431185491</v>
      </c>
      <c r="AP169" s="9">
        <v>5.00707045854094</v>
      </c>
      <c r="AQ169" s="9">
        <v>3.594258516072505</v>
      </c>
      <c r="AR169" s="9">
        <v>4.082095198718546</v>
      </c>
      <c r="AS169" s="9">
        <v>4.223735708086192</v>
      </c>
      <c r="AT169" s="9">
        <v>3.904574217230251</v>
      </c>
      <c r="AU169" s="9">
        <v>4.164459683177034</v>
      </c>
      <c r="AV169" s="9">
        <v>3.796582649554043</v>
      </c>
      <c r="AW169" s="9">
        <v>4.191514163990211</v>
      </c>
    </row>
    <row r="170" ht="15.0" customHeight="1">
      <c r="A170" s="5" t="s">
        <v>402</v>
      </c>
      <c r="B170" s="5" t="s">
        <v>403</v>
      </c>
      <c r="C170" s="5" t="s">
        <v>79</v>
      </c>
      <c r="D170" s="5" t="s">
        <v>52</v>
      </c>
      <c r="E170" s="5">
        <v>5.5</v>
      </c>
      <c r="F170" s="6">
        <v>0.0</v>
      </c>
      <c r="G170" s="10"/>
      <c r="H170" s="5">
        <v>933.0</v>
      </c>
      <c r="I170" s="5" t="b">
        <v>0</v>
      </c>
      <c r="J170" s="5" t="b">
        <v>0</v>
      </c>
      <c r="K170" s="7">
        <v>0.0</v>
      </c>
      <c r="L170" s="8">
        <v>0.07947438006854599</v>
      </c>
      <c r="M170" s="9">
        <f t="shared" si="1"/>
        <v>0</v>
      </c>
      <c r="N170" s="7">
        <f t="shared" si="2"/>
        <v>0</v>
      </c>
      <c r="O170" s="9">
        <f t="shared" si="3"/>
        <v>0</v>
      </c>
      <c r="P170" s="9">
        <v>0.0</v>
      </c>
      <c r="Q170" s="9">
        <v>0.0</v>
      </c>
      <c r="R170" s="9">
        <v>0.0</v>
      </c>
      <c r="S170" s="9">
        <v>0.0</v>
      </c>
      <c r="T170" s="9">
        <v>0.0</v>
      </c>
      <c r="U170" s="9">
        <v>0.0</v>
      </c>
      <c r="V170" s="9">
        <v>0.0</v>
      </c>
      <c r="W170" s="9">
        <v>0.0</v>
      </c>
      <c r="X170" s="9">
        <v>0.0</v>
      </c>
      <c r="Y170" s="9">
        <v>0.0</v>
      </c>
      <c r="Z170" s="9">
        <v>0.0</v>
      </c>
      <c r="AA170" s="9">
        <v>0.0</v>
      </c>
      <c r="AB170" s="9">
        <v>0.0</v>
      </c>
      <c r="AC170" s="9">
        <v>0.0</v>
      </c>
      <c r="AD170" s="9">
        <v>0.0</v>
      </c>
      <c r="AE170" s="9">
        <v>0.0</v>
      </c>
      <c r="AF170" s="9">
        <v>0.0</v>
      </c>
      <c r="AG170" s="9">
        <v>0.0</v>
      </c>
      <c r="AH170" s="9">
        <v>0.0</v>
      </c>
      <c r="AI170" s="9">
        <v>0.0</v>
      </c>
      <c r="AJ170" s="9">
        <v>0.0</v>
      </c>
      <c r="AK170" s="9">
        <v>0.0</v>
      </c>
      <c r="AL170" s="9">
        <v>0.0</v>
      </c>
      <c r="AM170" s="9">
        <v>0.0</v>
      </c>
      <c r="AN170" s="9">
        <v>0.0</v>
      </c>
      <c r="AO170" s="9">
        <v>0.0</v>
      </c>
      <c r="AP170" s="9">
        <v>0.0</v>
      </c>
      <c r="AQ170" s="9">
        <v>0.0</v>
      </c>
      <c r="AR170" s="9">
        <v>0.0</v>
      </c>
      <c r="AS170" s="9">
        <v>0.0</v>
      </c>
      <c r="AT170" s="9">
        <v>0.0</v>
      </c>
      <c r="AU170" s="9">
        <v>0.0</v>
      </c>
      <c r="AV170" s="9">
        <v>0.0</v>
      </c>
      <c r="AW170" s="9">
        <v>0.0</v>
      </c>
    </row>
    <row r="171" ht="15.0" customHeight="1">
      <c r="A171" s="5" t="s">
        <v>404</v>
      </c>
      <c r="B171" s="5" t="s">
        <v>405</v>
      </c>
      <c r="C171" s="5" t="s">
        <v>124</v>
      </c>
      <c r="D171" s="5" t="s">
        <v>52</v>
      </c>
      <c r="E171" s="5">
        <v>5.5</v>
      </c>
      <c r="F171" s="6">
        <v>1.0</v>
      </c>
      <c r="G171" s="5">
        <v>86.0</v>
      </c>
      <c r="H171" s="5">
        <v>3181.0</v>
      </c>
      <c r="I171" s="5" t="b">
        <v>1</v>
      </c>
      <c r="J171" s="5" t="b">
        <v>0</v>
      </c>
      <c r="K171" s="7">
        <v>86.0</v>
      </c>
      <c r="L171" s="8">
        <v>0.0684026439030199</v>
      </c>
      <c r="M171" s="9">
        <f t="shared" si="1"/>
        <v>2.245296922</v>
      </c>
      <c r="N171" s="7">
        <f t="shared" si="2"/>
        <v>76.34009535</v>
      </c>
      <c r="O171" s="9">
        <f t="shared" si="3"/>
        <v>13.88001734</v>
      </c>
      <c r="P171" s="9">
        <v>0.0</v>
      </c>
      <c r="Q171" s="9">
        <v>0.0</v>
      </c>
      <c r="R171" s="9">
        <v>2.352466560018793</v>
      </c>
      <c r="S171" s="9">
        <v>2.277229891906625</v>
      </c>
      <c r="T171" s="9">
        <v>2.5246704463258</v>
      </c>
      <c r="U171" s="9">
        <v>2.36637348922936</v>
      </c>
      <c r="V171" s="9">
        <v>2.209412351330124</v>
      </c>
      <c r="W171" s="9">
        <v>2.584387258054284</v>
      </c>
      <c r="X171" s="9">
        <v>2.22737510871834</v>
      </c>
      <c r="Y171" s="9">
        <v>2.525512688161306</v>
      </c>
      <c r="Z171" s="9">
        <v>2.316849586592801</v>
      </c>
      <c r="AA171" s="9">
        <v>2.365566635992274</v>
      </c>
      <c r="AB171" s="9">
        <v>2.580617148527769</v>
      </c>
      <c r="AC171" s="9">
        <v>2.433714191723879</v>
      </c>
      <c r="AD171" s="9">
        <v>2.266037621408655</v>
      </c>
      <c r="AE171" s="9">
        <v>2.525745273720367</v>
      </c>
      <c r="AF171" s="9">
        <v>2.384255447533637</v>
      </c>
      <c r="AG171" s="9">
        <v>2.385227648241884</v>
      </c>
      <c r="AH171" s="9">
        <v>2.33960966089694</v>
      </c>
      <c r="AI171" s="9">
        <v>2.247949382991818</v>
      </c>
      <c r="AJ171" s="9">
        <v>2.503335677715877</v>
      </c>
      <c r="AK171" s="9">
        <v>2.440221537364212</v>
      </c>
      <c r="AL171" s="9">
        <v>2.572633822977648</v>
      </c>
      <c r="AM171" s="9">
        <v>2.386601514477234</v>
      </c>
      <c r="AN171" s="9">
        <v>2.178656033788696</v>
      </c>
      <c r="AO171" s="9">
        <v>2.367240986138628</v>
      </c>
      <c r="AP171" s="9">
        <v>2.486988972589039</v>
      </c>
      <c r="AQ171" s="9">
        <v>2.443196574994733</v>
      </c>
      <c r="AR171" s="9">
        <v>2.387638869700258</v>
      </c>
      <c r="AS171" s="9">
        <v>2.383284295697365</v>
      </c>
      <c r="AT171" s="9">
        <v>2.262376594515583</v>
      </c>
      <c r="AU171" s="9">
        <v>2.317491156028061</v>
      </c>
      <c r="AV171" s="9">
        <v>2.450377772189953</v>
      </c>
      <c r="AW171" s="9">
        <v>2.247051153531316</v>
      </c>
    </row>
    <row r="172" ht="15.0" customHeight="1">
      <c r="A172" s="5" t="s">
        <v>406</v>
      </c>
      <c r="B172" s="5" t="s">
        <v>407</v>
      </c>
      <c r="C172" s="5" t="s">
        <v>124</v>
      </c>
      <c r="D172" s="5" t="s">
        <v>52</v>
      </c>
      <c r="E172" s="5">
        <v>5.5</v>
      </c>
      <c r="F172" s="6">
        <v>0.303030303</v>
      </c>
      <c r="G172" s="10">
        <v>71.0</v>
      </c>
      <c r="H172" s="5">
        <v>1156.0</v>
      </c>
      <c r="I172" s="5" t="b">
        <v>0</v>
      </c>
      <c r="J172" s="5" t="b">
        <v>0</v>
      </c>
      <c r="K172" s="7">
        <v>37.51060605915</v>
      </c>
      <c r="L172" s="8">
        <v>0.07208925374224223</v>
      </c>
      <c r="M172" s="9">
        <f t="shared" si="1"/>
        <v>1.792552522</v>
      </c>
      <c r="N172" s="7">
        <f t="shared" si="2"/>
        <v>60.94678575</v>
      </c>
      <c r="O172" s="9">
        <f t="shared" si="3"/>
        <v>11.08123377</v>
      </c>
      <c r="P172" s="9">
        <v>1.613733465743372</v>
      </c>
      <c r="Q172" s="9">
        <v>1.739020557684316</v>
      </c>
      <c r="R172" s="9">
        <v>1.697764711449235</v>
      </c>
      <c r="S172" s="9">
        <v>1.688924169666528</v>
      </c>
      <c r="T172" s="9">
        <v>2.144927563909022</v>
      </c>
      <c r="U172" s="9">
        <v>1.747892975865605</v>
      </c>
      <c r="V172" s="9">
        <v>1.499340082704504</v>
      </c>
      <c r="W172" s="9">
        <v>2.058862670342864</v>
      </c>
      <c r="X172" s="9">
        <v>1.477620349531854</v>
      </c>
      <c r="Y172" s="9">
        <v>2.091136646962336</v>
      </c>
      <c r="Z172" s="9">
        <v>1.804198499375957</v>
      </c>
      <c r="AA172" s="9">
        <v>1.84635455056597</v>
      </c>
      <c r="AB172" s="9">
        <v>2.030170912055062</v>
      </c>
      <c r="AC172" s="9">
        <v>1.734423468898785</v>
      </c>
      <c r="AD172" s="9">
        <v>1.594634939332413</v>
      </c>
      <c r="AE172" s="9">
        <v>2.038577361893917</v>
      </c>
      <c r="AF172" s="9">
        <v>1.868127798245427</v>
      </c>
      <c r="AG172" s="9">
        <v>1.820049776186001</v>
      </c>
      <c r="AH172" s="9">
        <v>1.635362281881875</v>
      </c>
      <c r="AI172" s="9">
        <v>1.555500209985877</v>
      </c>
      <c r="AJ172" s="9">
        <v>1.99509577753822</v>
      </c>
      <c r="AK172" s="9">
        <v>1.774245397420291</v>
      </c>
      <c r="AL172" s="9">
        <v>1.97716783236793</v>
      </c>
      <c r="AM172" s="9">
        <v>1.780561276546155</v>
      </c>
      <c r="AN172" s="9">
        <v>1.517862118112618</v>
      </c>
      <c r="AO172" s="9">
        <v>1.816529156839397</v>
      </c>
      <c r="AP172" s="9">
        <v>1.928374940750929</v>
      </c>
      <c r="AQ172" s="9">
        <v>1.795801902333543</v>
      </c>
      <c r="AR172" s="9">
        <v>1.791108973667701</v>
      </c>
      <c r="AS172" s="9">
        <v>1.860463617464684</v>
      </c>
      <c r="AT172" s="9">
        <v>1.652500220845275</v>
      </c>
      <c r="AU172" s="9">
        <v>1.66427129736342</v>
      </c>
      <c r="AV172" s="9">
        <v>2.070038560578805</v>
      </c>
      <c r="AW172" s="9">
        <v>1.636141686248976</v>
      </c>
    </row>
    <row r="173" ht="15.0" customHeight="1">
      <c r="A173" s="5" t="s">
        <v>408</v>
      </c>
      <c r="B173" s="5" t="s">
        <v>409</v>
      </c>
      <c r="C173" s="5" t="s">
        <v>124</v>
      </c>
      <c r="D173" s="5" t="s">
        <v>52</v>
      </c>
      <c r="E173" s="5">
        <v>5.5</v>
      </c>
      <c r="F173" s="6">
        <v>0.1666666667</v>
      </c>
      <c r="G173" s="5">
        <v>50.0</v>
      </c>
      <c r="H173" s="5">
        <v>160.0</v>
      </c>
      <c r="I173" s="5" t="b">
        <v>0</v>
      </c>
      <c r="J173" s="5" t="b">
        <v>0</v>
      </c>
      <c r="K173" s="7">
        <v>27.458333334235</v>
      </c>
      <c r="L173" s="8">
        <v>0.04693836860130116</v>
      </c>
      <c r="M173" s="9">
        <f t="shared" si="1"/>
        <v>1.216957114</v>
      </c>
      <c r="N173" s="7">
        <f t="shared" si="2"/>
        <v>41.37654189</v>
      </c>
      <c r="O173" s="9">
        <f t="shared" si="3"/>
        <v>7.523007616</v>
      </c>
      <c r="P173" s="9">
        <v>1.178545307969714</v>
      </c>
      <c r="Q173" s="9">
        <v>1.205458007428133</v>
      </c>
      <c r="R173" s="9">
        <v>1.196595911793007</v>
      </c>
      <c r="S173" s="9">
        <v>1.19469689059009</v>
      </c>
      <c r="T173" s="9">
        <v>1.292650176209108</v>
      </c>
      <c r="U173" s="9">
        <v>1.207363875944061</v>
      </c>
      <c r="V173" s="9">
        <v>1.153972666925351</v>
      </c>
      <c r="W173" s="9">
        <v>1.274162728072322</v>
      </c>
      <c r="X173" s="9">
        <v>1.149307089313667</v>
      </c>
      <c r="Y173" s="9">
        <v>1.281095444121772</v>
      </c>
      <c r="Z173" s="9">
        <v>1.219458766236489</v>
      </c>
      <c r="AA173" s="9">
        <v>1.228514233311784</v>
      </c>
      <c r="AB173" s="9">
        <v>1.267999502030671</v>
      </c>
      <c r="AC173" s="9">
        <v>1.204470514886387</v>
      </c>
      <c r="AD173" s="9">
        <v>1.174442787163827</v>
      </c>
      <c r="AE173" s="9">
        <v>1.269805276708018</v>
      </c>
      <c r="AF173" s="9">
        <v>1.233191306280379</v>
      </c>
      <c r="AG173" s="9">
        <v>1.222863751077402</v>
      </c>
      <c r="AH173" s="9">
        <v>1.183191355853492</v>
      </c>
      <c r="AI173" s="9">
        <v>1.166036324910027</v>
      </c>
      <c r="AJ173" s="9">
        <v>1.260465074189051</v>
      </c>
      <c r="AK173" s="9">
        <v>1.213024593184087</v>
      </c>
      <c r="AL173" s="9">
        <v>1.256614003876856</v>
      </c>
      <c r="AM173" s="9">
        <v>1.214381296050255</v>
      </c>
      <c r="AN173" s="9">
        <v>1.15795135271472</v>
      </c>
      <c r="AO173" s="9">
        <v>1.222107493039045</v>
      </c>
      <c r="AP173" s="9">
        <v>1.246132888803848</v>
      </c>
      <c r="AQ173" s="9">
        <v>1.217655108020985</v>
      </c>
      <c r="AR173" s="9">
        <v>1.216647028283424</v>
      </c>
      <c r="AS173" s="9">
        <v>1.231544977111494</v>
      </c>
      <c r="AT173" s="9">
        <v>1.186872726324411</v>
      </c>
      <c r="AU173" s="9">
        <v>1.189401250530115</v>
      </c>
      <c r="AV173" s="9">
        <v>1.27656340136149</v>
      </c>
      <c r="AW173" s="9">
        <v>1.183358778332244</v>
      </c>
    </row>
    <row r="174" ht="15.0" customHeight="1">
      <c r="A174" s="5" t="s">
        <v>410</v>
      </c>
      <c r="B174" s="5" t="s">
        <v>411</v>
      </c>
      <c r="C174" s="5" t="s">
        <v>55</v>
      </c>
      <c r="D174" s="5" t="s">
        <v>83</v>
      </c>
      <c r="E174" s="5">
        <v>4.5</v>
      </c>
      <c r="F174" s="6"/>
      <c r="G174" s="10"/>
      <c r="H174" s="5">
        <v>1430.0</v>
      </c>
      <c r="I174" s="5" t="b">
        <v>0</v>
      </c>
      <c r="J174" s="5" t="b">
        <v>0</v>
      </c>
      <c r="K174" s="7">
        <v>16.24</v>
      </c>
      <c r="L174" s="8">
        <v>0.0742482587939111</v>
      </c>
      <c r="M174" s="9">
        <f t="shared" si="1"/>
        <v>1.115903157</v>
      </c>
      <c r="N174" s="7">
        <f t="shared" si="2"/>
        <v>37.94070733</v>
      </c>
      <c r="O174" s="9">
        <f t="shared" si="3"/>
        <v>8.431268296</v>
      </c>
      <c r="P174" s="9">
        <v>1.109130184708338</v>
      </c>
      <c r="Q174" s="9">
        <v>1.13898320948218</v>
      </c>
      <c r="R174" s="9">
        <v>1.114236109318253</v>
      </c>
      <c r="S174" s="9">
        <v>1.12778340745435</v>
      </c>
      <c r="T174" s="9">
        <v>1.105016171910041</v>
      </c>
      <c r="U174" s="9">
        <v>1.117294053972022</v>
      </c>
      <c r="V174" s="9">
        <v>1.115530375071308</v>
      </c>
      <c r="W174" s="9">
        <v>1.111884464928501</v>
      </c>
      <c r="X174" s="9">
        <v>1.116235807392047</v>
      </c>
      <c r="Y174" s="9">
        <v>1.097119713475736</v>
      </c>
      <c r="Z174" s="9">
        <v>1.131883167074822</v>
      </c>
      <c r="AA174" s="9">
        <v>1.106108283510727</v>
      </c>
      <c r="AB174" s="9">
        <v>1.128980294423759</v>
      </c>
      <c r="AC174" s="9">
        <v>1.115361937988323</v>
      </c>
      <c r="AD174" s="9">
        <v>1.115675242447655</v>
      </c>
      <c r="AE174" s="9">
        <v>1.103520177423443</v>
      </c>
      <c r="AF174" s="9">
        <v>1.104964138120222</v>
      </c>
      <c r="AG174" s="9">
        <v>1.108539981583455</v>
      </c>
      <c r="AH174" s="9">
        <v>1.112476796152602</v>
      </c>
      <c r="AI174" s="9">
        <v>1.135392075810446</v>
      </c>
      <c r="AJ174" s="9">
        <v>1.099632468913608</v>
      </c>
      <c r="AK174" s="9">
        <v>1.119050186166178</v>
      </c>
      <c r="AL174" s="9">
        <v>1.133983547145725</v>
      </c>
      <c r="AM174" s="9">
        <v>1.102245141317572</v>
      </c>
      <c r="AN174" s="9">
        <v>1.120503789252406</v>
      </c>
      <c r="AO174" s="9">
        <v>1.119992121126442</v>
      </c>
      <c r="AP174" s="9">
        <v>1.131321944348204</v>
      </c>
      <c r="AQ174" s="9">
        <v>1.114657763520913</v>
      </c>
      <c r="AR174" s="9">
        <v>1.111577558832328</v>
      </c>
      <c r="AS174" s="9">
        <v>1.124525946790485</v>
      </c>
      <c r="AT174" s="9">
        <v>1.133237433898061</v>
      </c>
      <c r="AU174" s="9">
        <v>1.102371690369412</v>
      </c>
      <c r="AV174" s="9">
        <v>1.094433134061153</v>
      </c>
      <c r="AW174" s="9">
        <v>1.117059014017349</v>
      </c>
    </row>
    <row r="175" ht="15.0" customHeight="1">
      <c r="A175" s="5" t="s">
        <v>412</v>
      </c>
      <c r="B175" s="5" t="s">
        <v>413</v>
      </c>
      <c r="C175" s="5" t="s">
        <v>55</v>
      </c>
      <c r="D175" s="5" t="s">
        <v>52</v>
      </c>
      <c r="E175" s="5">
        <v>7.0</v>
      </c>
      <c r="F175" s="6">
        <v>0.9</v>
      </c>
      <c r="G175" s="10">
        <v>86.0</v>
      </c>
      <c r="H175" s="5">
        <v>882.0</v>
      </c>
      <c r="I175" s="5" t="b">
        <v>1</v>
      </c>
      <c r="J175" s="5" t="b">
        <v>0</v>
      </c>
      <c r="K175" s="7">
        <v>79.69500000000001</v>
      </c>
      <c r="L175" s="8">
        <v>0.04576364298023899</v>
      </c>
      <c r="M175" s="9">
        <f t="shared" si="1"/>
        <v>3.057753473</v>
      </c>
      <c r="N175" s="7">
        <f t="shared" si="2"/>
        <v>103.9636181</v>
      </c>
      <c r="O175" s="9">
        <f t="shared" si="3"/>
        <v>14.85194544</v>
      </c>
      <c r="P175" s="9">
        <v>0.0</v>
      </c>
      <c r="Q175" s="9">
        <v>0.0</v>
      </c>
      <c r="R175" s="9">
        <v>3.286619958471334</v>
      </c>
      <c r="S175" s="9">
        <v>3.681493113853492</v>
      </c>
      <c r="T175" s="9">
        <v>2.903851676311513</v>
      </c>
      <c r="U175" s="9">
        <v>3.291229670388466</v>
      </c>
      <c r="V175" s="9">
        <v>3.284066104564968</v>
      </c>
      <c r="W175" s="9">
        <v>3.165030807590004</v>
      </c>
      <c r="X175" s="9">
        <v>3.198923090636011</v>
      </c>
      <c r="Y175" s="9">
        <v>2.671387671178522</v>
      </c>
      <c r="Z175" s="9">
        <v>3.71746399010097</v>
      </c>
      <c r="AA175" s="9">
        <v>2.942195056657698</v>
      </c>
      <c r="AB175" s="9">
        <v>3.638577913893466</v>
      </c>
      <c r="AC175" s="9">
        <v>3.255829550170632</v>
      </c>
      <c r="AD175" s="9">
        <v>3.317848978056734</v>
      </c>
      <c r="AE175" s="9">
        <v>2.876597994009417</v>
      </c>
      <c r="AF175" s="9">
        <v>3.002683847079048</v>
      </c>
      <c r="AG175" s="9">
        <v>3.005912648194213</v>
      </c>
      <c r="AH175" s="9">
        <v>3.17748118770113</v>
      </c>
      <c r="AI175" s="9">
        <v>3.786328366582216</v>
      </c>
      <c r="AJ175" s="9">
        <v>2.800202318321627</v>
      </c>
      <c r="AK175" s="9">
        <v>3.305337353797841</v>
      </c>
      <c r="AL175" s="9">
        <v>3.684601810957343</v>
      </c>
      <c r="AM175" s="9">
        <v>2.871043185316422</v>
      </c>
      <c r="AN175" s="9">
        <v>3.353117463561037</v>
      </c>
      <c r="AO175" s="9">
        <v>3.34209571515052</v>
      </c>
      <c r="AP175" s="9">
        <v>3.758845969734145</v>
      </c>
      <c r="AQ175" s="9">
        <v>3.240967749019666</v>
      </c>
      <c r="AR175" s="9">
        <v>3.227925582653035</v>
      </c>
      <c r="AS175" s="9">
        <v>3.534981382334143</v>
      </c>
      <c r="AT175" s="9">
        <v>3.800196931581918</v>
      </c>
      <c r="AU175" s="9">
        <v>2.8965765111195</v>
      </c>
      <c r="AV175" s="9">
        <v>2.676105116290691</v>
      </c>
      <c r="AW175" s="9">
        <v>3.268099351631127</v>
      </c>
    </row>
    <row r="176" ht="15.0" customHeight="1">
      <c r="A176" s="5" t="s">
        <v>414</v>
      </c>
      <c r="B176" s="5" t="s">
        <v>415</v>
      </c>
      <c r="C176" s="5" t="s">
        <v>92</v>
      </c>
      <c r="D176" s="5" t="s">
        <v>83</v>
      </c>
      <c r="E176" s="5">
        <v>4.5</v>
      </c>
      <c r="F176" s="6">
        <v>0.875</v>
      </c>
      <c r="G176" s="5">
        <v>87.0</v>
      </c>
      <c r="H176" s="5">
        <v>2724.0</v>
      </c>
      <c r="I176" s="5" t="b">
        <v>1</v>
      </c>
      <c r="J176" s="5" t="b">
        <v>0</v>
      </c>
      <c r="K176" s="7">
        <v>78.155</v>
      </c>
      <c r="L176" s="8">
        <v>0.06097977473343343</v>
      </c>
      <c r="M176" s="9">
        <f t="shared" si="1"/>
        <v>2.991937912</v>
      </c>
      <c r="N176" s="7">
        <f t="shared" si="2"/>
        <v>101.725889</v>
      </c>
      <c r="O176" s="9">
        <f t="shared" si="3"/>
        <v>22.60575311</v>
      </c>
      <c r="P176" s="9">
        <v>0.0</v>
      </c>
      <c r="Q176" s="9">
        <v>3.823857013733669</v>
      </c>
      <c r="R176" s="9">
        <v>3.011155619608476</v>
      </c>
      <c r="S176" s="9">
        <v>2.628157792462796</v>
      </c>
      <c r="T176" s="9">
        <v>3.248706245781199</v>
      </c>
      <c r="U176" s="9">
        <v>3.091576562907044</v>
      </c>
      <c r="V176" s="9">
        <v>3.287910823558957</v>
      </c>
      <c r="W176" s="9">
        <v>2.913155461361435</v>
      </c>
      <c r="X176" s="9">
        <v>2.627168599464107</v>
      </c>
      <c r="Y176" s="9">
        <v>3.52395611379062</v>
      </c>
      <c r="Z176" s="9">
        <v>2.498722070239711</v>
      </c>
      <c r="AA176" s="9">
        <v>3.336581355907225</v>
      </c>
      <c r="AB176" s="9">
        <v>3.083955224447935</v>
      </c>
      <c r="AC176" s="9">
        <v>3.088051461658908</v>
      </c>
      <c r="AD176" s="9">
        <v>3.613538621979173</v>
      </c>
      <c r="AE176" s="9">
        <v>2.740729668320586</v>
      </c>
      <c r="AF176" s="9">
        <v>3.458469097113406</v>
      </c>
      <c r="AG176" s="9">
        <v>2.544934178914861</v>
      </c>
      <c r="AH176" s="9">
        <v>2.72363954978549</v>
      </c>
      <c r="AI176" s="9">
        <v>3.014886962553874</v>
      </c>
      <c r="AJ176" s="9">
        <v>3.086304788526141</v>
      </c>
      <c r="AK176" s="9">
        <v>3.790029357811845</v>
      </c>
      <c r="AL176" s="9">
        <v>2.616739338717613</v>
      </c>
      <c r="AM176" s="9">
        <v>3.177171971715212</v>
      </c>
      <c r="AN176" s="9">
        <v>3.023114224514137</v>
      </c>
      <c r="AO176" s="9">
        <v>2.674120667687105</v>
      </c>
      <c r="AP176" s="9">
        <v>2.861068131313651</v>
      </c>
      <c r="AQ176" s="9">
        <v>2.844775239988097</v>
      </c>
      <c r="AR176" s="9">
        <v>3.275425270155649</v>
      </c>
      <c r="AS176" s="9">
        <v>3.025326257329166</v>
      </c>
      <c r="AT176" s="9">
        <v>2.676082897706383</v>
      </c>
      <c r="AU176" s="9">
        <v>3.613735616942136</v>
      </c>
      <c r="AV176" s="9">
        <v>3.839987653543222</v>
      </c>
      <c r="AW176" s="9">
        <v>2.962855156072252</v>
      </c>
    </row>
    <row r="177" ht="15.0" customHeight="1">
      <c r="A177" s="5" t="s">
        <v>416</v>
      </c>
      <c r="B177" s="5" t="s">
        <v>417</v>
      </c>
      <c r="C177" s="5" t="s">
        <v>92</v>
      </c>
      <c r="D177" s="5" t="s">
        <v>52</v>
      </c>
      <c r="E177" s="5">
        <v>6.0</v>
      </c>
      <c r="F177" s="6">
        <v>0.5882352941</v>
      </c>
      <c r="G177" s="5">
        <v>68.0</v>
      </c>
      <c r="H177" s="5">
        <v>1830.0</v>
      </c>
      <c r="I177" s="5" t="b">
        <v>1</v>
      </c>
      <c r="J177" s="5" t="b">
        <v>0</v>
      </c>
      <c r="K177" s="7">
        <v>49.449999999205</v>
      </c>
      <c r="L177" s="8">
        <v>0.09926557449533832</v>
      </c>
      <c r="M177" s="9">
        <f t="shared" si="1"/>
        <v>2.316733658</v>
      </c>
      <c r="N177" s="7">
        <f t="shared" si="2"/>
        <v>78.76894436</v>
      </c>
      <c r="O177" s="9">
        <f t="shared" si="3"/>
        <v>13.12815739</v>
      </c>
      <c r="P177" s="9">
        <v>1.843982153319721</v>
      </c>
      <c r="Q177" s="9">
        <v>2.806616368805906</v>
      </c>
      <c r="R177" s="9">
        <v>2.25537624256373</v>
      </c>
      <c r="S177" s="9">
        <v>2.009548207967296</v>
      </c>
      <c r="T177" s="9">
        <v>2.31152695103552</v>
      </c>
      <c r="U177" s="9">
        <v>2.337166032240235</v>
      </c>
      <c r="V177" s="9">
        <v>2.393512926108719</v>
      </c>
      <c r="W177" s="9">
        <v>2.108680877389414</v>
      </c>
      <c r="X177" s="9">
        <v>2.035516316297716</v>
      </c>
      <c r="Y177" s="9">
        <v>2.687887224265963</v>
      </c>
      <c r="Z177" s="9">
        <v>1.84214706997605</v>
      </c>
      <c r="AA177" s="9">
        <v>2.727058670460852</v>
      </c>
      <c r="AB177" s="9">
        <v>2.416357651568461</v>
      </c>
      <c r="AC177" s="9">
        <v>2.426388051717525</v>
      </c>
      <c r="AD177" s="9">
        <v>2.823487591244996</v>
      </c>
      <c r="AE177" s="9">
        <v>2.018574094769886</v>
      </c>
      <c r="AF177" s="9">
        <v>2.592841324632126</v>
      </c>
      <c r="AG177" s="9">
        <v>1.828698397882008</v>
      </c>
      <c r="AH177" s="9">
        <v>2.122275666966212</v>
      </c>
      <c r="AI177" s="9">
        <v>2.26672612700289</v>
      </c>
      <c r="AJ177" s="9">
        <v>2.369669938442626</v>
      </c>
      <c r="AK177" s="9">
        <v>2.735824803927857</v>
      </c>
      <c r="AL177" s="9">
        <v>1.938440231756311</v>
      </c>
      <c r="AM177" s="9">
        <v>2.362289720042158</v>
      </c>
      <c r="AN177" s="9">
        <v>2.384086700104266</v>
      </c>
      <c r="AO177" s="9">
        <v>2.066822289219898</v>
      </c>
      <c r="AP177" s="9">
        <v>2.292778097508575</v>
      </c>
      <c r="AQ177" s="9">
        <v>2.12480114928722</v>
      </c>
      <c r="AR177" s="9">
        <v>2.36505133340384</v>
      </c>
      <c r="AS177" s="9">
        <v>2.349755018873665</v>
      </c>
      <c r="AT177" s="9">
        <v>1.999610835623525</v>
      </c>
      <c r="AU177" s="9">
        <v>2.886490103144336</v>
      </c>
      <c r="AV177" s="9">
        <v>2.844372500471357</v>
      </c>
      <c r="AW177" s="9">
        <v>2.19458369383686</v>
      </c>
    </row>
    <row r="178" ht="15.0" customHeight="1">
      <c r="A178" s="5" t="s">
        <v>418</v>
      </c>
      <c r="B178" s="5" t="s">
        <v>419</v>
      </c>
      <c r="C178" s="5" t="s">
        <v>131</v>
      </c>
      <c r="D178" s="5" t="s">
        <v>83</v>
      </c>
      <c r="E178" s="5">
        <v>5.0</v>
      </c>
      <c r="F178" s="6">
        <v>1.0</v>
      </c>
      <c r="G178" s="10">
        <v>89.0</v>
      </c>
      <c r="H178" s="5">
        <v>881.0</v>
      </c>
      <c r="I178" s="5" t="b">
        <v>1</v>
      </c>
      <c r="J178" s="5" t="b">
        <v>0</v>
      </c>
      <c r="K178" s="7">
        <v>89.0</v>
      </c>
      <c r="L178" s="8">
        <v>0.05987807445048927</v>
      </c>
      <c r="M178" s="9">
        <f t="shared" si="1"/>
        <v>3.190915809</v>
      </c>
      <c r="N178" s="7">
        <f t="shared" si="2"/>
        <v>108.4911375</v>
      </c>
      <c r="O178" s="9">
        <f t="shared" si="3"/>
        <v>21.6982275</v>
      </c>
      <c r="P178" s="9">
        <v>0.0</v>
      </c>
      <c r="Q178" s="9">
        <v>0.0</v>
      </c>
      <c r="R178" s="9">
        <v>4.196007511779465</v>
      </c>
      <c r="S178" s="9">
        <v>2.86356180750162</v>
      </c>
      <c r="T178" s="9">
        <v>2.995981800207603</v>
      </c>
      <c r="U178" s="9">
        <v>3.380812689845638</v>
      </c>
      <c r="V178" s="9">
        <v>2.92186595565045</v>
      </c>
      <c r="W178" s="9">
        <v>3.848606253072442</v>
      </c>
      <c r="X178" s="9">
        <v>3.438495462497932</v>
      </c>
      <c r="Y178" s="9">
        <v>3.814389605137603</v>
      </c>
      <c r="Z178" s="9">
        <v>3.587860300775052</v>
      </c>
      <c r="AA178" s="9">
        <v>3.331149571613222</v>
      </c>
      <c r="AB178" s="9">
        <v>4.056761717821642</v>
      </c>
      <c r="AC178" s="9">
        <v>2.678463468389274</v>
      </c>
      <c r="AD178" s="9">
        <v>3.172837080243788</v>
      </c>
      <c r="AE178" s="9">
        <v>2.971966359727578</v>
      </c>
      <c r="AF178" s="9">
        <v>3.426505760252093</v>
      </c>
      <c r="AG178" s="9">
        <v>2.90895389420208</v>
      </c>
      <c r="AH178" s="9">
        <v>3.322563862231526</v>
      </c>
      <c r="AI178" s="9">
        <v>4.258369266211806</v>
      </c>
      <c r="AJ178" s="9">
        <v>3.540015099954748</v>
      </c>
      <c r="AK178" s="9">
        <v>4.088449602230388</v>
      </c>
      <c r="AL178" s="9">
        <v>2.938464987870234</v>
      </c>
      <c r="AM178" s="9">
        <v>3.226384707265371</v>
      </c>
      <c r="AN178" s="9">
        <v>3.94869279604871</v>
      </c>
      <c r="AO178" s="9">
        <v>3.128511091455836</v>
      </c>
      <c r="AP178" s="9">
        <v>2.754654407406026</v>
      </c>
      <c r="AQ178" s="9">
        <v>3.396301212993686</v>
      </c>
      <c r="AR178" s="9">
        <v>3.254491817480385</v>
      </c>
      <c r="AS178" s="9">
        <v>3.507064980921694</v>
      </c>
      <c r="AT178" s="9">
        <v>3.036810298510321</v>
      </c>
      <c r="AU178" s="9">
        <v>3.416134361742203</v>
      </c>
      <c r="AV178" s="9">
        <v>3.468109723893632</v>
      </c>
      <c r="AW178" s="9">
        <v>3.611900054190047</v>
      </c>
    </row>
    <row r="179" ht="15.0" customHeight="1">
      <c r="A179" s="5" t="s">
        <v>420</v>
      </c>
      <c r="B179" s="5" t="s">
        <v>421</v>
      </c>
      <c r="C179" s="5" t="s">
        <v>76</v>
      </c>
      <c r="D179" s="5" t="s">
        <v>52</v>
      </c>
      <c r="E179" s="5">
        <v>5.5</v>
      </c>
      <c r="F179" s="6"/>
      <c r="G179" s="5"/>
      <c r="H179" s="5">
        <v>1175.0</v>
      </c>
      <c r="I179" s="5" t="b">
        <v>1</v>
      </c>
      <c r="J179" s="5" t="b">
        <v>0</v>
      </c>
      <c r="K179" s="7">
        <v>74.05</v>
      </c>
      <c r="L179" s="8">
        <v>0.05250756032702328</v>
      </c>
      <c r="M179" s="9">
        <f t="shared" si="1"/>
        <v>2.651796539</v>
      </c>
      <c r="N179" s="7">
        <f t="shared" si="2"/>
        <v>90.16108233</v>
      </c>
      <c r="O179" s="9">
        <f t="shared" si="3"/>
        <v>16.39292406</v>
      </c>
      <c r="P179" s="9">
        <v>2.531773766116701</v>
      </c>
      <c r="Q179" s="9">
        <v>2.442887162773692</v>
      </c>
      <c r="R179" s="9">
        <v>2.941426233308322</v>
      </c>
      <c r="S179" s="9">
        <v>2.711986810674785</v>
      </c>
      <c r="T179" s="9">
        <v>2.608990860597425</v>
      </c>
      <c r="U179" s="9">
        <v>2.857943728862117</v>
      </c>
      <c r="V179" s="9">
        <v>2.575652853174053</v>
      </c>
      <c r="W179" s="9">
        <v>2.325746915086286</v>
      </c>
      <c r="X179" s="9">
        <v>2.871221856734598</v>
      </c>
      <c r="Y179" s="9">
        <v>2.671733402551367</v>
      </c>
      <c r="Z179" s="9">
        <v>2.663673478281619</v>
      </c>
      <c r="AA179" s="9">
        <v>2.525860974504208</v>
      </c>
      <c r="AB179" s="9">
        <v>2.436970666197467</v>
      </c>
      <c r="AC179" s="9">
        <v>2.650053632302879</v>
      </c>
      <c r="AD179" s="9">
        <v>2.964969938529884</v>
      </c>
      <c r="AE179" s="9">
        <v>2.967786275990259</v>
      </c>
      <c r="AF179" s="9">
        <v>2.463256343743388</v>
      </c>
      <c r="AG179" s="9">
        <v>2.406401350640126</v>
      </c>
      <c r="AH179" s="9">
        <v>2.82155428494413</v>
      </c>
      <c r="AI179" s="9">
        <v>2.347856854128421</v>
      </c>
      <c r="AJ179" s="9">
        <v>2.656401635282432</v>
      </c>
      <c r="AK179" s="9">
        <v>2.596778454022955</v>
      </c>
      <c r="AL179" s="9">
        <v>2.983163053550945</v>
      </c>
      <c r="AM179" s="9">
        <v>2.614285666755666</v>
      </c>
      <c r="AN179" s="9">
        <v>2.343037400647594</v>
      </c>
      <c r="AO179" s="9">
        <v>2.915102122527945</v>
      </c>
      <c r="AP179" s="9">
        <v>2.668833792899306</v>
      </c>
      <c r="AQ179" s="9">
        <v>2.650054013716575</v>
      </c>
      <c r="AR179" s="9">
        <v>2.447031687611399</v>
      </c>
      <c r="AS179" s="9">
        <v>2.930351086031482</v>
      </c>
      <c r="AT179" s="9">
        <v>2.681118952133208</v>
      </c>
      <c r="AU179" s="9">
        <v>2.698192257251007</v>
      </c>
      <c r="AV179" s="9">
        <v>2.687557367802301</v>
      </c>
      <c r="AW179" s="9">
        <v>2.501427448082651</v>
      </c>
    </row>
    <row r="180" ht="15.0" customHeight="1">
      <c r="A180" s="5" t="s">
        <v>422</v>
      </c>
      <c r="B180" s="5" t="s">
        <v>423</v>
      </c>
      <c r="C180" s="5" t="s">
        <v>100</v>
      </c>
      <c r="D180" s="5" t="s">
        <v>52</v>
      </c>
      <c r="E180" s="5">
        <v>5.5</v>
      </c>
      <c r="F180" s="6">
        <v>0.9310344828</v>
      </c>
      <c r="G180" s="5">
        <v>80.0</v>
      </c>
      <c r="H180" s="5">
        <v>2310.0</v>
      </c>
      <c r="I180" s="5" t="b">
        <v>1</v>
      </c>
      <c r="J180" s="5" t="b">
        <v>0</v>
      </c>
      <c r="K180" s="7">
        <v>76.06551724374</v>
      </c>
      <c r="L180" s="8">
        <v>0.07682765444438752</v>
      </c>
      <c r="M180" s="9">
        <f t="shared" si="1"/>
        <v>2.28245759</v>
      </c>
      <c r="N180" s="7">
        <f t="shared" si="2"/>
        <v>77.60355807</v>
      </c>
      <c r="O180" s="9">
        <f t="shared" si="3"/>
        <v>14.10973783</v>
      </c>
      <c r="P180" s="9">
        <v>2.291154946176095</v>
      </c>
      <c r="Q180" s="9">
        <v>2.100185001163005</v>
      </c>
      <c r="R180" s="9">
        <v>2.164406317095025</v>
      </c>
      <c r="S180" s="9">
        <v>2.285012775201402</v>
      </c>
      <c r="T180" s="9">
        <v>2.242159036682143</v>
      </c>
      <c r="U180" s="9">
        <v>2.207291613838259</v>
      </c>
      <c r="V180" s="9">
        <v>2.146090915201095</v>
      </c>
      <c r="W180" s="9">
        <v>2.517550566675819</v>
      </c>
      <c r="X180" s="9">
        <v>2.486377966819175</v>
      </c>
      <c r="Y180" s="9">
        <v>2.169417916484901</v>
      </c>
      <c r="Z180" s="9">
        <v>2.499200808923957</v>
      </c>
      <c r="AA180" s="9">
        <v>2.340197396678671</v>
      </c>
      <c r="AB180" s="9">
        <v>2.237985139135135</v>
      </c>
      <c r="AC180" s="9">
        <v>2.26171198161076</v>
      </c>
      <c r="AD180" s="9">
        <v>2.288030722138002</v>
      </c>
      <c r="AE180" s="9">
        <v>2.436026330075889</v>
      </c>
      <c r="AF180" s="9">
        <v>2.079661443582268</v>
      </c>
      <c r="AG180" s="9">
        <v>2.312555373249378</v>
      </c>
      <c r="AH180" s="9">
        <v>2.318986548481516</v>
      </c>
      <c r="AI180" s="9">
        <v>2.093638594915662</v>
      </c>
      <c r="AJ180" s="9">
        <v>2.465877810336131</v>
      </c>
      <c r="AK180" s="9">
        <v>2.302449640142475</v>
      </c>
      <c r="AL180" s="9">
        <v>2.279876127751503</v>
      </c>
      <c r="AM180" s="9">
        <v>2.333064417064465</v>
      </c>
      <c r="AN180" s="9">
        <v>2.526935420006103</v>
      </c>
      <c r="AO180" s="9">
        <v>2.153697390471149</v>
      </c>
      <c r="AP180" s="9">
        <v>2.304899630220489</v>
      </c>
      <c r="AQ180" s="9">
        <v>2.264302726286878</v>
      </c>
      <c r="AR180" s="9">
        <v>2.183135162821117</v>
      </c>
      <c r="AS180" s="9">
        <v>2.403812224493906</v>
      </c>
      <c r="AT180" s="9">
        <v>2.150202296194888</v>
      </c>
      <c r="AU180" s="9">
        <v>2.407273836313692</v>
      </c>
      <c r="AV180" s="9">
        <v>2.132132653045928</v>
      </c>
      <c r="AW180" s="9">
        <v>2.218257336947215</v>
      </c>
    </row>
    <row r="181" ht="15.0" customHeight="1">
      <c r="A181" s="5" t="s">
        <v>424</v>
      </c>
      <c r="B181" s="5" t="s">
        <v>425</v>
      </c>
      <c r="C181" s="5" t="s">
        <v>51</v>
      </c>
      <c r="D181" s="5" t="s">
        <v>83</v>
      </c>
      <c r="E181" s="5">
        <v>5.0</v>
      </c>
      <c r="F181" s="6">
        <v>0.4642857143</v>
      </c>
      <c r="G181" s="5">
        <v>85.0</v>
      </c>
      <c r="H181" s="5">
        <v>1372.0</v>
      </c>
      <c r="I181" s="5" t="b">
        <v>0</v>
      </c>
      <c r="J181" s="5" t="b">
        <v>0</v>
      </c>
      <c r="K181" s="7">
        <v>48.16428571526799</v>
      </c>
      <c r="L181" s="8">
        <v>0.09393412768223237</v>
      </c>
      <c r="M181" s="9">
        <f t="shared" si="1"/>
        <v>1.704979279</v>
      </c>
      <c r="N181" s="7">
        <f t="shared" si="2"/>
        <v>57.9692955</v>
      </c>
      <c r="O181" s="9">
        <f t="shared" si="3"/>
        <v>11.5938591</v>
      </c>
      <c r="P181" s="9">
        <v>1.894302788493981</v>
      </c>
      <c r="Q181" s="9">
        <v>1.66559870944665</v>
      </c>
      <c r="R181" s="9">
        <v>1.719600146446462</v>
      </c>
      <c r="S181" s="9">
        <v>1.546510038974299</v>
      </c>
      <c r="T181" s="9">
        <v>1.545018658413182</v>
      </c>
      <c r="U181" s="9">
        <v>1.80759794830405</v>
      </c>
      <c r="V181" s="9">
        <v>1.452954153810477</v>
      </c>
      <c r="W181" s="9">
        <v>1.760196822188482</v>
      </c>
      <c r="X181" s="9">
        <v>1.655001197732456</v>
      </c>
      <c r="Y181" s="9">
        <v>1.599807012714884</v>
      </c>
      <c r="Z181" s="9">
        <v>1.910262822847377</v>
      </c>
      <c r="AA181" s="9">
        <v>1.686332214897969</v>
      </c>
      <c r="AB181" s="9">
        <v>1.57767525362115</v>
      </c>
      <c r="AC181" s="9">
        <v>1.977976787433825</v>
      </c>
      <c r="AD181" s="9">
        <v>1.514228314438208</v>
      </c>
      <c r="AE181" s="9">
        <v>1.919055767383778</v>
      </c>
      <c r="AF181" s="9">
        <v>1.935655277532688</v>
      </c>
      <c r="AG181" s="9">
        <v>1.470042761975075</v>
      </c>
      <c r="AH181" s="9">
        <v>1.691301409626971</v>
      </c>
      <c r="AI181" s="9">
        <v>1.845987121846503</v>
      </c>
      <c r="AJ181" s="9">
        <v>1.703292398659557</v>
      </c>
      <c r="AK181" s="9">
        <v>1.577062035414219</v>
      </c>
      <c r="AL181" s="9">
        <v>1.887688778726475</v>
      </c>
      <c r="AM181" s="9">
        <v>1.626158893967636</v>
      </c>
      <c r="AN181" s="9">
        <v>1.701585136646253</v>
      </c>
      <c r="AO181" s="9">
        <v>1.709898656463614</v>
      </c>
      <c r="AP181" s="9">
        <v>1.560044958771655</v>
      </c>
      <c r="AQ181" s="9">
        <v>1.658618086039939</v>
      </c>
      <c r="AR181" s="9">
        <v>1.722370092284774</v>
      </c>
      <c r="AS181" s="9">
        <v>1.699600105642994</v>
      </c>
      <c r="AT181" s="9">
        <v>1.754166813383877</v>
      </c>
      <c r="AU181" s="9">
        <v>1.860092434640919</v>
      </c>
      <c r="AV181" s="9">
        <v>1.743066109987399</v>
      </c>
      <c r="AW181" s="9">
        <v>1.590545788707428</v>
      </c>
    </row>
    <row r="182" ht="15.0" customHeight="1">
      <c r="A182" s="5" t="s">
        <v>426</v>
      </c>
      <c r="B182" s="5" t="s">
        <v>427</v>
      </c>
      <c r="C182" s="5" t="s">
        <v>95</v>
      </c>
      <c r="D182" s="5" t="s">
        <v>52</v>
      </c>
      <c r="E182" s="5">
        <v>5.0</v>
      </c>
      <c r="F182" s="6"/>
      <c r="G182" s="5"/>
      <c r="H182" s="5">
        <v>1252.0</v>
      </c>
      <c r="I182" s="5" t="b">
        <v>0</v>
      </c>
      <c r="J182" s="5" t="b">
        <v>0</v>
      </c>
      <c r="K182" s="7">
        <v>22.95</v>
      </c>
      <c r="L182" s="8">
        <v>0.02940567089163303</v>
      </c>
      <c r="M182" s="9">
        <f t="shared" si="1"/>
        <v>1.204418124</v>
      </c>
      <c r="N182" s="7">
        <f t="shared" si="2"/>
        <v>40.95021623</v>
      </c>
      <c r="O182" s="9">
        <f t="shared" si="3"/>
        <v>8.190043246</v>
      </c>
      <c r="P182" s="9">
        <v>1.16557656816516</v>
      </c>
      <c r="Q182" s="9">
        <v>1.210367717675881</v>
      </c>
      <c r="R182" s="9">
        <v>1.206985334631899</v>
      </c>
      <c r="S182" s="9">
        <v>1.192344137660283</v>
      </c>
      <c r="T182" s="9">
        <v>1.302217545900983</v>
      </c>
      <c r="U182" s="9">
        <v>1.11871051679527</v>
      </c>
      <c r="V182" s="9">
        <v>1.230831692818622</v>
      </c>
      <c r="W182" s="9">
        <v>1.228378363785454</v>
      </c>
      <c r="X182" s="9">
        <v>1.29188654169825</v>
      </c>
      <c r="Y182" s="9">
        <v>1.206177718200508</v>
      </c>
      <c r="Z182" s="9">
        <v>1.149399244960781</v>
      </c>
      <c r="AA182" s="9">
        <v>1.188032504956212</v>
      </c>
      <c r="AB182" s="9">
        <v>1.189504047931025</v>
      </c>
      <c r="AC182" s="9">
        <v>1.200779632952469</v>
      </c>
      <c r="AD182" s="9">
        <v>1.223862005880574</v>
      </c>
      <c r="AE182" s="9">
        <v>1.105828996639415</v>
      </c>
      <c r="AF182" s="9">
        <v>1.202801366269147</v>
      </c>
      <c r="AG182" s="9">
        <v>1.271474553261641</v>
      </c>
      <c r="AH182" s="9">
        <v>1.161808608535844</v>
      </c>
      <c r="AI182" s="9">
        <v>1.214314800973958</v>
      </c>
      <c r="AJ182" s="9">
        <v>1.295463980275408</v>
      </c>
      <c r="AK182" s="9">
        <v>1.207679939830695</v>
      </c>
      <c r="AL182" s="9">
        <v>1.156572188752266</v>
      </c>
      <c r="AM182" s="9">
        <v>1.173468032250165</v>
      </c>
      <c r="AN182" s="9">
        <v>1.282702217158699</v>
      </c>
      <c r="AO182" s="9">
        <v>1.130758591623796</v>
      </c>
      <c r="AP182" s="9">
        <v>1.143892518059304</v>
      </c>
      <c r="AQ182" s="9">
        <v>1.265735760082095</v>
      </c>
      <c r="AR182" s="9">
        <v>1.319436192230107</v>
      </c>
      <c r="AS182" s="9">
        <v>1.112781553410914</v>
      </c>
      <c r="AT182" s="9">
        <v>1.156322698895869</v>
      </c>
      <c r="AU182" s="9">
        <v>1.215441762602977</v>
      </c>
      <c r="AV182" s="9">
        <v>1.1432857449436</v>
      </c>
      <c r="AW182" s="9">
        <v>1.285393148915862</v>
      </c>
    </row>
    <row r="183" ht="15.0" customHeight="1">
      <c r="A183" s="5" t="s">
        <v>428</v>
      </c>
      <c r="B183" s="5" t="s">
        <v>429</v>
      </c>
      <c r="C183" s="5" t="s">
        <v>82</v>
      </c>
      <c r="D183" s="5" t="s">
        <v>52</v>
      </c>
      <c r="E183" s="5">
        <v>5.5</v>
      </c>
      <c r="F183" s="6">
        <v>0.8965517241</v>
      </c>
      <c r="G183" s="5">
        <v>88.0</v>
      </c>
      <c r="H183" s="5">
        <v>2501.0</v>
      </c>
      <c r="I183" s="5" t="b">
        <v>1</v>
      </c>
      <c r="J183" s="5" t="b">
        <v>0</v>
      </c>
      <c r="K183" s="7">
        <v>81.27068965270499</v>
      </c>
      <c r="L183" s="8">
        <v>0.05123439899933996</v>
      </c>
      <c r="M183" s="9">
        <f t="shared" si="1"/>
        <v>2.74490783</v>
      </c>
      <c r="N183" s="7">
        <f t="shared" si="2"/>
        <v>93.32686623</v>
      </c>
      <c r="O183" s="9">
        <f t="shared" si="3"/>
        <v>16.96852113</v>
      </c>
      <c r="P183" s="9">
        <v>2.565091861498562</v>
      </c>
      <c r="Q183" s="9">
        <v>2.912021415059676</v>
      </c>
      <c r="R183" s="9">
        <v>0.0</v>
      </c>
      <c r="S183" s="9">
        <v>2.754102880380159</v>
      </c>
      <c r="T183" s="9">
        <v>5.518364074292229</v>
      </c>
      <c r="U183" s="9">
        <v>2.584440949078751</v>
      </c>
      <c r="V183" s="9">
        <v>2.522021448030329</v>
      </c>
      <c r="W183" s="9">
        <v>3.017769226810974</v>
      </c>
      <c r="X183" s="9">
        <v>2.631055695279719</v>
      </c>
      <c r="Y183" s="9">
        <v>2.787010955618233</v>
      </c>
      <c r="Z183" s="9">
        <v>2.77610649315008</v>
      </c>
      <c r="AA183" s="9">
        <v>2.747701449216307</v>
      </c>
      <c r="AB183" s="9">
        <v>3.031283824850225</v>
      </c>
      <c r="AC183" s="9">
        <v>2.713919496563645</v>
      </c>
      <c r="AD183" s="9">
        <v>2.750843856183999</v>
      </c>
      <c r="AE183" s="9">
        <v>2.457348443068221</v>
      </c>
      <c r="AF183" s="9">
        <v>3.070826854443725</v>
      </c>
      <c r="AG183" s="9">
        <v>2.763874693399151</v>
      </c>
      <c r="AH183" s="9">
        <v>2.765265182058024</v>
      </c>
      <c r="AI183" s="9">
        <v>2.555793195760026</v>
      </c>
      <c r="AJ183" s="9">
        <v>2.676242503009844</v>
      </c>
      <c r="AK183" s="9">
        <v>2.791840978758631</v>
      </c>
      <c r="AL183" s="9">
        <v>2.465886446856515</v>
      </c>
      <c r="AM183" s="9">
        <v>3.058200503554097</v>
      </c>
      <c r="AN183" s="9">
        <v>2.554041344459379</v>
      </c>
      <c r="AO183" s="9">
        <v>2.614521516319801</v>
      </c>
      <c r="AP183" s="9">
        <v>3.004471260148309</v>
      </c>
      <c r="AQ183" s="9">
        <v>2.790299328193063</v>
      </c>
      <c r="AR183" s="9">
        <v>2.632980122723918</v>
      </c>
      <c r="AS183" s="9">
        <v>2.7673273439619</v>
      </c>
      <c r="AT183" s="9">
        <v>2.708571988118142</v>
      </c>
      <c r="AU183" s="9">
        <v>2.804121818012087</v>
      </c>
      <c r="AV183" s="9">
        <v>2.572143794125539</v>
      </c>
      <c r="AW183" s="9">
        <v>2.961375283118862</v>
      </c>
    </row>
    <row r="184" ht="15.0" customHeight="1">
      <c r="A184" s="5" t="s">
        <v>430</v>
      </c>
      <c r="B184" s="5" t="s">
        <v>431</v>
      </c>
      <c r="C184" s="5" t="s">
        <v>136</v>
      </c>
      <c r="D184" s="5" t="s">
        <v>52</v>
      </c>
      <c r="E184" s="5">
        <v>5.0</v>
      </c>
      <c r="F184" s="6">
        <v>0.9545454545</v>
      </c>
      <c r="G184" s="5">
        <v>74.0</v>
      </c>
      <c r="H184" s="5">
        <v>1624.0</v>
      </c>
      <c r="I184" s="5" t="b">
        <v>1</v>
      </c>
      <c r="J184" s="5" t="b">
        <v>0</v>
      </c>
      <c r="K184" s="7">
        <v>71.679545452225</v>
      </c>
      <c r="L184" s="8">
        <v>0.07570266958523442</v>
      </c>
      <c r="M184" s="9">
        <f t="shared" si="1"/>
        <v>2.556288919</v>
      </c>
      <c r="N184" s="7">
        <f t="shared" si="2"/>
        <v>86.91382323</v>
      </c>
      <c r="O184" s="9">
        <f t="shared" si="3"/>
        <v>17.38276465</v>
      </c>
      <c r="P184" s="9">
        <v>2.60862342480109</v>
      </c>
      <c r="Q184" s="9">
        <v>2.437071566759936</v>
      </c>
      <c r="R184" s="9">
        <v>2.394866674294046</v>
      </c>
      <c r="S184" s="9">
        <v>2.704164606179167</v>
      </c>
      <c r="T184" s="9">
        <v>2.618598968253294</v>
      </c>
      <c r="U184" s="9">
        <v>2.589171979929731</v>
      </c>
      <c r="V184" s="9">
        <v>2.395245554818267</v>
      </c>
      <c r="W184" s="9">
        <v>2.556597644903005</v>
      </c>
      <c r="X184" s="9">
        <v>2.412553425580096</v>
      </c>
      <c r="Y184" s="9">
        <v>2.561558316204511</v>
      </c>
      <c r="Z184" s="9">
        <v>2.470784853652434</v>
      </c>
      <c r="AA184" s="9">
        <v>2.81202891478816</v>
      </c>
      <c r="AB184" s="9">
        <v>2.318046252657428</v>
      </c>
      <c r="AC184" s="9">
        <v>2.71693655584721</v>
      </c>
      <c r="AD184" s="9">
        <v>2.589248674972446</v>
      </c>
      <c r="AE184" s="9">
        <v>2.573687365489889</v>
      </c>
      <c r="AF184" s="9">
        <v>2.528769302231665</v>
      </c>
      <c r="AG184" s="9">
        <v>2.503253223413506</v>
      </c>
      <c r="AH184" s="9">
        <v>2.461705646767852</v>
      </c>
      <c r="AI184" s="9">
        <v>2.778022434461447</v>
      </c>
      <c r="AJ184" s="9">
        <v>2.413102843406203</v>
      </c>
      <c r="AK184" s="9">
        <v>2.566052643709265</v>
      </c>
      <c r="AL184" s="9">
        <v>2.323923219683347</v>
      </c>
      <c r="AM184" s="9">
        <v>2.58911249438872</v>
      </c>
      <c r="AN184" s="9">
        <v>2.585653276297196</v>
      </c>
      <c r="AO184" s="9">
        <v>2.565287719748624</v>
      </c>
      <c r="AP184" s="9">
        <v>2.367247173231169</v>
      </c>
      <c r="AQ184" s="9">
        <v>2.795105494038372</v>
      </c>
      <c r="AR184" s="9">
        <v>2.388243322520001</v>
      </c>
      <c r="AS184" s="9">
        <v>2.842903102988239</v>
      </c>
      <c r="AT184" s="9">
        <v>2.829761413856982</v>
      </c>
      <c r="AU184" s="9">
        <v>2.302672977856251</v>
      </c>
      <c r="AV184" s="9">
        <v>2.804457263314305</v>
      </c>
      <c r="AW184" s="9">
        <v>2.509364903834757</v>
      </c>
    </row>
    <row r="185" ht="15.0" customHeight="1">
      <c r="A185" s="5" t="s">
        <v>432</v>
      </c>
      <c r="B185" s="5" t="s">
        <v>433</v>
      </c>
      <c r="C185" s="5" t="s">
        <v>59</v>
      </c>
      <c r="D185" s="5" t="s">
        <v>56</v>
      </c>
      <c r="E185" s="5">
        <v>8.5</v>
      </c>
      <c r="F185" s="6">
        <v>0.48</v>
      </c>
      <c r="G185" s="5">
        <v>74.0</v>
      </c>
      <c r="H185" s="5">
        <v>1292.0</v>
      </c>
      <c r="I185" s="5" t="b">
        <v>0</v>
      </c>
      <c r="J185" s="5" t="b">
        <v>0</v>
      </c>
      <c r="K185" s="7">
        <v>47.9896</v>
      </c>
      <c r="L185" s="8">
        <v>0.0956460529062329</v>
      </c>
      <c r="M185" s="9">
        <f t="shared" si="1"/>
        <v>1.908742803</v>
      </c>
      <c r="N185" s="7">
        <f t="shared" si="2"/>
        <v>64.89725531</v>
      </c>
      <c r="O185" s="9">
        <f t="shared" si="3"/>
        <v>7.634971213</v>
      </c>
      <c r="P185" s="9">
        <v>1.936290587927148</v>
      </c>
      <c r="Q185" s="9">
        <v>1.984685685293047</v>
      </c>
      <c r="R185" s="9">
        <v>0.0</v>
      </c>
      <c r="S185" s="9">
        <v>1.920334771698941</v>
      </c>
      <c r="T185" s="9">
        <v>1.80430020598446</v>
      </c>
      <c r="U185" s="9">
        <v>4.073220117866656</v>
      </c>
      <c r="V185" s="9">
        <v>2.112491020392552</v>
      </c>
      <c r="W185" s="9">
        <v>1.962768842705041</v>
      </c>
      <c r="X185" s="9">
        <v>1.728613618194432</v>
      </c>
      <c r="Y185" s="9">
        <v>1.813199051278316</v>
      </c>
      <c r="Z185" s="9">
        <v>1.854726980463745</v>
      </c>
      <c r="AA185" s="9">
        <v>1.591602833855373</v>
      </c>
      <c r="AB185" s="9">
        <v>2.094444840143825</v>
      </c>
      <c r="AC185" s="9">
        <v>1.613465809007565</v>
      </c>
      <c r="AD185" s="9">
        <v>1.909698546943623</v>
      </c>
      <c r="AE185" s="9">
        <v>2.147797475969417</v>
      </c>
      <c r="AF185" s="9">
        <v>1.976970959120339</v>
      </c>
      <c r="AG185" s="9">
        <v>1.911882798967874</v>
      </c>
      <c r="AH185" s="9">
        <v>1.93274675004096</v>
      </c>
      <c r="AI185" s="9">
        <v>2.187928052257918</v>
      </c>
      <c r="AJ185" s="9">
        <v>1.767636040651779</v>
      </c>
      <c r="AK185" s="9">
        <v>1.86365791238153</v>
      </c>
      <c r="AL185" s="9">
        <v>2.263310949734885</v>
      </c>
      <c r="AM185" s="9">
        <v>1.779484747603429</v>
      </c>
      <c r="AN185" s="9">
        <v>1.850099573805866</v>
      </c>
      <c r="AO185" s="9">
        <v>2.209165280850706</v>
      </c>
      <c r="AP185" s="9">
        <v>1.751169621264293</v>
      </c>
      <c r="AQ185" s="9">
        <v>1.750385076713216</v>
      </c>
      <c r="AR185" s="9">
        <v>1.71129719239976</v>
      </c>
      <c r="AS185" s="9">
        <v>1.632109997528515</v>
      </c>
      <c r="AT185" s="9">
        <v>2.15625936647627</v>
      </c>
      <c r="AU185" s="9">
        <v>1.669996313205596</v>
      </c>
      <c r="AV185" s="9">
        <v>2.045330158644452</v>
      </c>
      <c r="AW185" s="9">
        <v>1.890184128568001</v>
      </c>
    </row>
    <row r="186" ht="15.0" customHeight="1">
      <c r="A186" s="5" t="s">
        <v>434</v>
      </c>
      <c r="B186" s="5" t="s">
        <v>435</v>
      </c>
      <c r="C186" s="5" t="s">
        <v>141</v>
      </c>
      <c r="D186" s="5" t="s">
        <v>52</v>
      </c>
      <c r="E186" s="5">
        <v>6.0</v>
      </c>
      <c r="F186" s="6">
        <v>0.7647058824</v>
      </c>
      <c r="G186" s="5">
        <v>73.0</v>
      </c>
      <c r="H186" s="5">
        <v>2255.0</v>
      </c>
      <c r="I186" s="5" t="b">
        <v>1</v>
      </c>
      <c r="J186" s="5" t="b">
        <v>0</v>
      </c>
      <c r="K186" s="7">
        <v>61.22352941412</v>
      </c>
      <c r="L186" s="8">
        <v>0.06681934037849921</v>
      </c>
      <c r="M186" s="9">
        <f t="shared" si="1"/>
        <v>2.861185479</v>
      </c>
      <c r="N186" s="7">
        <f t="shared" si="2"/>
        <v>97.28030627</v>
      </c>
      <c r="O186" s="9">
        <f t="shared" si="3"/>
        <v>16.21338438</v>
      </c>
      <c r="P186" s="9">
        <v>2.891710241935056</v>
      </c>
      <c r="Q186" s="9">
        <v>2.846689973100025</v>
      </c>
      <c r="R186" s="9">
        <v>2.354027164689909</v>
      </c>
      <c r="S186" s="9">
        <v>3.278905447026426</v>
      </c>
      <c r="T186" s="9">
        <v>2.642612310519291</v>
      </c>
      <c r="U186" s="9">
        <v>2.937985582557716</v>
      </c>
      <c r="V186" s="9">
        <v>3.337519896985594</v>
      </c>
      <c r="W186" s="9">
        <v>2.795129392834968</v>
      </c>
      <c r="X186" s="9">
        <v>2.864557154117965</v>
      </c>
      <c r="Y186" s="9">
        <v>2.552914899974894</v>
      </c>
      <c r="Z186" s="9">
        <v>3.116883056270651</v>
      </c>
      <c r="AA186" s="9">
        <v>2.463274436959044</v>
      </c>
      <c r="AB186" s="9">
        <v>2.947533965843376</v>
      </c>
      <c r="AC186" s="9">
        <v>3.360236792088554</v>
      </c>
      <c r="AD186" s="9">
        <v>2.809577831942286</v>
      </c>
      <c r="AE186" s="9">
        <v>2.65327872758494</v>
      </c>
      <c r="AF186" s="9">
        <v>2.897757185758624</v>
      </c>
      <c r="AG186" s="9">
        <v>3.396908510414325</v>
      </c>
      <c r="AH186" s="9">
        <v>2.524813865394791</v>
      </c>
      <c r="AI186" s="9">
        <v>2.725230011685022</v>
      </c>
      <c r="AJ186" s="9">
        <v>2.904702883859852</v>
      </c>
      <c r="AK186" s="9">
        <v>2.784371627654521</v>
      </c>
      <c r="AL186" s="9">
        <v>2.894609349402521</v>
      </c>
      <c r="AM186" s="9">
        <v>2.924857325203715</v>
      </c>
      <c r="AN186" s="9">
        <v>3.23918360480032</v>
      </c>
      <c r="AO186" s="9">
        <v>2.547650865815065</v>
      </c>
      <c r="AP186" s="9">
        <v>2.64152999841034</v>
      </c>
      <c r="AQ186" s="9">
        <v>2.586180326490279</v>
      </c>
      <c r="AR186" s="9">
        <v>3.207877354362526</v>
      </c>
      <c r="AS186" s="9">
        <v>2.851711749013651</v>
      </c>
      <c r="AT186" s="9">
        <v>3.257034977535049</v>
      </c>
      <c r="AU186" s="9">
        <v>2.355859566474816</v>
      </c>
      <c r="AV186" s="9">
        <v>3.324349925609419</v>
      </c>
      <c r="AW186" s="9">
        <v>2.362840268089137</v>
      </c>
    </row>
    <row r="187" ht="15.0" customHeight="1">
      <c r="A187" s="5" t="s">
        <v>436</v>
      </c>
      <c r="B187" s="5" t="s">
        <v>437</v>
      </c>
      <c r="C187" s="5" t="s">
        <v>79</v>
      </c>
      <c r="D187" s="5" t="s">
        <v>52</v>
      </c>
      <c r="E187" s="5">
        <v>6.5</v>
      </c>
      <c r="F187" s="6">
        <v>0.2333333333</v>
      </c>
      <c r="G187" s="5">
        <v>63.0</v>
      </c>
      <c r="H187" s="5">
        <v>1026.0</v>
      </c>
      <c r="I187" s="5" t="b">
        <v>0</v>
      </c>
      <c r="J187" s="5" t="b">
        <v>0</v>
      </c>
      <c r="K187" s="7">
        <v>32.294999998665</v>
      </c>
      <c r="L187" s="8">
        <v>0.1155635774040035</v>
      </c>
      <c r="M187" s="9">
        <f t="shared" si="1"/>
        <v>1.818483143</v>
      </c>
      <c r="N187" s="7">
        <f t="shared" si="2"/>
        <v>61.82842687</v>
      </c>
      <c r="O187" s="9">
        <f t="shared" si="3"/>
        <v>9.512065672</v>
      </c>
      <c r="P187" s="9">
        <v>1.681529566758375</v>
      </c>
      <c r="Q187" s="9">
        <v>2.086866563500481</v>
      </c>
      <c r="R187" s="9">
        <v>0.0</v>
      </c>
      <c r="S187" s="9">
        <v>1.794032362473714</v>
      </c>
      <c r="T187" s="9">
        <v>3.713075975311961</v>
      </c>
      <c r="U187" s="9">
        <v>1.981549781128134</v>
      </c>
      <c r="V187" s="9">
        <v>1.715188362849228</v>
      </c>
      <c r="W187" s="9">
        <v>1.799868766666878</v>
      </c>
      <c r="X187" s="9">
        <v>1.811947179924943</v>
      </c>
      <c r="Y187" s="9">
        <v>1.591893388035709</v>
      </c>
      <c r="Z187" s="9">
        <v>1.769680505733463</v>
      </c>
      <c r="AA187" s="9">
        <v>1.809615727063303</v>
      </c>
      <c r="AB187" s="9">
        <v>2.057042691206823</v>
      </c>
      <c r="AC187" s="9">
        <v>1.666412903185623</v>
      </c>
      <c r="AD187" s="9">
        <v>1.873705258513401</v>
      </c>
      <c r="AE187" s="9">
        <v>1.93646104026483</v>
      </c>
      <c r="AF187" s="9">
        <v>1.539996700999482</v>
      </c>
      <c r="AG187" s="9">
        <v>2.038297357907739</v>
      </c>
      <c r="AH187" s="9">
        <v>1.629808825590487</v>
      </c>
      <c r="AI187" s="9">
        <v>1.88078760698057</v>
      </c>
      <c r="AJ187" s="9">
        <v>2.030529090321965</v>
      </c>
      <c r="AK187" s="9">
        <v>1.55711262151784</v>
      </c>
      <c r="AL187" s="9">
        <v>1.998116712236457</v>
      </c>
      <c r="AM187" s="9">
        <v>1.757233546984829</v>
      </c>
      <c r="AN187" s="9">
        <v>1.761481644158561</v>
      </c>
      <c r="AO187" s="9">
        <v>1.813952388357434</v>
      </c>
      <c r="AP187" s="9">
        <v>2.136573900668495</v>
      </c>
      <c r="AQ187" s="9">
        <v>1.62805717361563</v>
      </c>
      <c r="AR187" s="9">
        <v>1.82171155112956</v>
      </c>
      <c r="AS187" s="9">
        <v>1.86066729252826</v>
      </c>
      <c r="AT187" s="9">
        <v>1.723357767947425</v>
      </c>
      <c r="AU187" s="9">
        <v>1.833106117030825</v>
      </c>
      <c r="AV187" s="9">
        <v>1.692407032742044</v>
      </c>
      <c r="AW187" s="9">
        <v>1.836359465789972</v>
      </c>
    </row>
    <row r="188" ht="15.0" customHeight="1">
      <c r="A188" s="5" t="s">
        <v>438</v>
      </c>
      <c r="B188" s="5" t="s">
        <v>439</v>
      </c>
      <c r="C188" s="5" t="s">
        <v>79</v>
      </c>
      <c r="D188" s="5" t="s">
        <v>52</v>
      </c>
      <c r="E188" s="5">
        <v>5.0</v>
      </c>
      <c r="F188" s="6">
        <v>0.125</v>
      </c>
      <c r="G188" s="5">
        <v>90.0</v>
      </c>
      <c r="H188" s="5">
        <v>619.0</v>
      </c>
      <c r="I188" s="5" t="b">
        <v>0</v>
      </c>
      <c r="J188" s="5" t="b">
        <v>0</v>
      </c>
      <c r="K188" s="7">
        <v>31.33125</v>
      </c>
      <c r="L188" s="8">
        <v>0.06251754751944749</v>
      </c>
      <c r="M188" s="9">
        <f t="shared" si="1"/>
        <v>1.193463266</v>
      </c>
      <c r="N188" s="7">
        <f t="shared" si="2"/>
        <v>40.57775104</v>
      </c>
      <c r="O188" s="9">
        <f t="shared" si="3"/>
        <v>8.115550208</v>
      </c>
      <c r="P188" s="9">
        <v>1.169194656058324</v>
      </c>
      <c r="Q188" s="9">
        <v>1.241021662679075</v>
      </c>
      <c r="R188" s="9">
        <v>0.0</v>
      </c>
      <c r="S188" s="9">
        <v>1.189130509724897</v>
      </c>
      <c r="T188" s="9">
        <v>2.40041341111345</v>
      </c>
      <c r="U188" s="9">
        <v>1.222359193460782</v>
      </c>
      <c r="V188" s="9">
        <v>1.175159101912257</v>
      </c>
      <c r="W188" s="9">
        <v>1.190164739133989</v>
      </c>
      <c r="X188" s="9">
        <v>1.192305072427096</v>
      </c>
      <c r="Y188" s="9">
        <v>1.153310839741729</v>
      </c>
      <c r="Z188" s="9">
        <v>1.184815283161893</v>
      </c>
      <c r="AA188" s="9">
        <v>1.191891931555488</v>
      </c>
      <c r="AB188" s="9">
        <v>1.235736777534342</v>
      </c>
      <c r="AC188" s="9">
        <v>1.166515935134128</v>
      </c>
      <c r="AD188" s="9">
        <v>1.203248800621935</v>
      </c>
      <c r="AE188" s="9">
        <v>1.214369324994444</v>
      </c>
      <c r="AF188" s="9">
        <v>1.144114581533605</v>
      </c>
      <c r="AG188" s="9">
        <v>1.23241504477912</v>
      </c>
      <c r="AH188" s="9">
        <v>1.16002957601837</v>
      </c>
      <c r="AI188" s="9">
        <v>1.204503815324098</v>
      </c>
      <c r="AJ188" s="9">
        <v>1.231038483024828</v>
      </c>
      <c r="AK188" s="9">
        <v>1.147147577155207</v>
      </c>
      <c r="AL188" s="9">
        <v>1.225294906410667</v>
      </c>
      <c r="AM188" s="9">
        <v>1.182609642434222</v>
      </c>
      <c r="AN188" s="9">
        <v>1.183362418781498</v>
      </c>
      <c r="AO188" s="9">
        <v>1.192660401746931</v>
      </c>
      <c r="AP188" s="9">
        <v>1.249829961118555</v>
      </c>
      <c r="AQ188" s="9">
        <v>1.159719177710279</v>
      </c>
      <c r="AR188" s="9">
        <v>1.194035350099252</v>
      </c>
      <c r="AS188" s="9">
        <v>1.200938431529889</v>
      </c>
      <c r="AT188" s="9">
        <v>1.176606746511176</v>
      </c>
      <c r="AU188" s="9">
        <v>1.196054503463018</v>
      </c>
      <c r="AV188" s="9">
        <v>1.171122177669984</v>
      </c>
      <c r="AW188" s="9">
        <v>1.196631007223447</v>
      </c>
    </row>
    <row r="189" ht="15.0" customHeight="1">
      <c r="A189" s="5" t="s">
        <v>440</v>
      </c>
      <c r="B189" s="5" t="s">
        <v>441</v>
      </c>
      <c r="C189" s="5" t="s">
        <v>124</v>
      </c>
      <c r="D189" s="5" t="s">
        <v>83</v>
      </c>
      <c r="E189" s="5">
        <v>4.5</v>
      </c>
      <c r="F189" s="6"/>
      <c r="G189" s="5"/>
      <c r="H189" s="5">
        <v>2329.0</v>
      </c>
      <c r="I189" s="5" t="b">
        <v>0</v>
      </c>
      <c r="J189" s="5" t="b">
        <v>0</v>
      </c>
      <c r="K189" s="7">
        <v>16.24</v>
      </c>
      <c r="L189" s="8">
        <v>0.06869456048579471</v>
      </c>
      <c r="M189" s="9">
        <f t="shared" si="1"/>
        <v>1.109367364</v>
      </c>
      <c r="N189" s="7">
        <f t="shared" si="2"/>
        <v>37.71849038</v>
      </c>
      <c r="O189" s="9">
        <f t="shared" si="3"/>
        <v>8.381886751</v>
      </c>
      <c r="P189" s="9">
        <v>1.094950129104232</v>
      </c>
      <c r="Q189" s="9">
        <v>1.10505136489054</v>
      </c>
      <c r="R189" s="9">
        <v>1.101725124142765</v>
      </c>
      <c r="S189" s="9">
        <v>1.101012358001877</v>
      </c>
      <c r="T189" s="9">
        <v>1.137777500629432</v>
      </c>
      <c r="U189" s="9">
        <v>1.105766701056904</v>
      </c>
      <c r="V189" s="9">
        <v>1.08572719546783</v>
      </c>
      <c r="W189" s="9">
        <v>1.130838543316534</v>
      </c>
      <c r="X189" s="9">
        <v>1.083976048221982</v>
      </c>
      <c r="Y189" s="9">
        <v>1.133440623407505</v>
      </c>
      <c r="Z189" s="9">
        <v>1.110306317710452</v>
      </c>
      <c r="AA189" s="9">
        <v>1.113705137224043</v>
      </c>
      <c r="AB189" s="9">
        <v>1.128525278549199</v>
      </c>
      <c r="AC189" s="9">
        <v>1.104680725928187</v>
      </c>
      <c r="AD189" s="9">
        <v>1.093410315900338</v>
      </c>
      <c r="AE189" s="9">
        <v>1.129203046151851</v>
      </c>
      <c r="AF189" s="9">
        <v>1.115460599061624</v>
      </c>
      <c r="AG189" s="9">
        <v>1.111584322348373</v>
      </c>
      <c r="AH189" s="9">
        <v>1.096693946190326</v>
      </c>
      <c r="AI189" s="9">
        <v>1.090255089592195</v>
      </c>
      <c r="AJ189" s="9">
        <v>1.12569735590767</v>
      </c>
      <c r="AK189" s="9">
        <v>1.107891357472344</v>
      </c>
      <c r="AL189" s="9">
        <v>1.124251920479937</v>
      </c>
      <c r="AM189" s="9">
        <v>1.108400573411989</v>
      </c>
      <c r="AN189" s="9">
        <v>1.087220529250275</v>
      </c>
      <c r="AO189" s="9">
        <v>1.111300473425209</v>
      </c>
      <c r="AP189" s="9">
        <v>1.120318007614025</v>
      </c>
      <c r="AQ189" s="9">
        <v>1.109629344486681</v>
      </c>
      <c r="AR189" s="9">
        <v>1.109250978461518</v>
      </c>
      <c r="AS189" s="9">
        <v>1.114842676688491</v>
      </c>
      <c r="AT189" s="9">
        <v>1.098075687594638</v>
      </c>
      <c r="AU189" s="9">
        <v>1.099024727256478</v>
      </c>
      <c r="AV189" s="9">
        <v>1.131739596255398</v>
      </c>
      <c r="AW189" s="9">
        <v>1.096756785443461</v>
      </c>
    </row>
    <row r="190" ht="15.0" customHeight="1">
      <c r="A190" s="5" t="s">
        <v>442</v>
      </c>
      <c r="B190" s="5" t="s">
        <v>443</v>
      </c>
      <c r="C190" s="5" t="s">
        <v>124</v>
      </c>
      <c r="D190" s="5" t="s">
        <v>56</v>
      </c>
      <c r="E190" s="5">
        <v>6.0</v>
      </c>
      <c r="F190" s="6">
        <v>0.28</v>
      </c>
      <c r="G190" s="10">
        <v>80.0</v>
      </c>
      <c r="H190" s="5">
        <v>1003.0</v>
      </c>
      <c r="I190" s="5" t="b">
        <v>0</v>
      </c>
      <c r="J190" s="5" t="b">
        <v>0</v>
      </c>
      <c r="K190" s="7">
        <v>39.6656</v>
      </c>
      <c r="L190" s="8">
        <v>0.09281017704218802</v>
      </c>
      <c r="M190" s="9">
        <f t="shared" si="1"/>
        <v>1.750968539</v>
      </c>
      <c r="N190" s="7">
        <f t="shared" si="2"/>
        <v>59.53293031</v>
      </c>
      <c r="O190" s="9">
        <f t="shared" si="3"/>
        <v>9.922155052</v>
      </c>
      <c r="P190" s="9">
        <v>1.59286598048326</v>
      </c>
      <c r="Q190" s="9">
        <v>1.703638345238616</v>
      </c>
      <c r="R190" s="9">
        <v>1.667162060438284</v>
      </c>
      <c r="S190" s="9">
        <v>1.659345710774341</v>
      </c>
      <c r="T190" s="9">
        <v>2.06252031985953</v>
      </c>
      <c r="U190" s="9">
        <v>1.711482878365006</v>
      </c>
      <c r="V190" s="9">
        <v>1.491725269534731</v>
      </c>
      <c r="W190" s="9">
        <v>1.986426193680633</v>
      </c>
      <c r="X190" s="9">
        <v>1.47252180517047</v>
      </c>
      <c r="Y190" s="9">
        <v>2.014961174059004</v>
      </c>
      <c r="Z190" s="9">
        <v>1.761265309191719</v>
      </c>
      <c r="AA190" s="9">
        <v>1.798537508639582</v>
      </c>
      <c r="AB190" s="9">
        <v>1.961058425419022</v>
      </c>
      <c r="AC190" s="9">
        <v>1.699573837172585</v>
      </c>
      <c r="AD190" s="9">
        <v>1.575980051525137</v>
      </c>
      <c r="AE190" s="9">
        <v>1.968490973444689</v>
      </c>
      <c r="AF190" s="9">
        <v>1.817788287762098</v>
      </c>
      <c r="AG190" s="9">
        <v>1.775280188054643</v>
      </c>
      <c r="AH190" s="9">
        <v>1.611989060709674</v>
      </c>
      <c r="AI190" s="9">
        <v>1.541379148538099</v>
      </c>
      <c r="AJ190" s="9">
        <v>1.93004680615042</v>
      </c>
      <c r="AK190" s="9">
        <v>1.734782326116723</v>
      </c>
      <c r="AL190" s="9">
        <v>1.914195844563305</v>
      </c>
      <c r="AM190" s="9">
        <v>1.740366499677163</v>
      </c>
      <c r="AN190" s="9">
        <v>1.508101494973872</v>
      </c>
      <c r="AO190" s="9">
        <v>1.77216743857355</v>
      </c>
      <c r="AP190" s="9">
        <v>1.871055694178023</v>
      </c>
      <c r="AQ190" s="9">
        <v>1.753841472498914</v>
      </c>
      <c r="AR190" s="9">
        <v>1.749692227769149</v>
      </c>
      <c r="AS190" s="9">
        <v>1.811012015635073</v>
      </c>
      <c r="AT190" s="9">
        <v>1.627141539680961</v>
      </c>
      <c r="AU190" s="9">
        <v>1.637548916541825</v>
      </c>
      <c r="AV190" s="9">
        <v>1.996307337623737</v>
      </c>
      <c r="AW190" s="9">
        <v>1.612678169727266</v>
      </c>
    </row>
    <row r="191" ht="15.0" customHeight="1">
      <c r="A191" s="5" t="s">
        <v>444</v>
      </c>
      <c r="B191" s="5" t="s">
        <v>445</v>
      </c>
      <c r="C191" s="5" t="s">
        <v>55</v>
      </c>
      <c r="D191" s="5" t="s">
        <v>83</v>
      </c>
      <c r="E191" s="5">
        <v>5.5</v>
      </c>
      <c r="F191" s="6">
        <v>0.4761904762</v>
      </c>
      <c r="G191" s="5">
        <v>69.0</v>
      </c>
      <c r="H191" s="5">
        <v>952.0</v>
      </c>
      <c r="I191" s="5" t="b">
        <v>0</v>
      </c>
      <c r="J191" s="5" t="b">
        <v>0</v>
      </c>
      <c r="K191" s="7">
        <v>41.363809524312</v>
      </c>
      <c r="L191" s="8">
        <v>0.08512559946624361</v>
      </c>
      <c r="M191" s="9">
        <f t="shared" si="1"/>
        <v>1.285428864</v>
      </c>
      <c r="N191" s="7">
        <f t="shared" si="2"/>
        <v>43.70458139</v>
      </c>
      <c r="O191" s="9">
        <f t="shared" si="3"/>
        <v>7.946287525</v>
      </c>
      <c r="P191" s="9">
        <v>0.0</v>
      </c>
      <c r="Q191" s="9">
        <v>0.0</v>
      </c>
      <c r="R191" s="9">
        <v>1.359703888270678</v>
      </c>
      <c r="S191" s="9">
        <v>1.430682783394396</v>
      </c>
      <c r="T191" s="9">
        <v>1.311397505420727</v>
      </c>
      <c r="U191" s="9">
        <v>1.37572549868284</v>
      </c>
      <c r="V191" s="9">
        <v>1.366484986038319</v>
      </c>
      <c r="W191" s="9">
        <v>1.347382824776567</v>
      </c>
      <c r="X191" s="9">
        <v>1.370180985506821</v>
      </c>
      <c r="Y191" s="9">
        <v>1.270025278322252</v>
      </c>
      <c r="Z191" s="9">
        <v>1.452162816181045</v>
      </c>
      <c r="AA191" s="9">
        <v>1.317119448939629</v>
      </c>
      <c r="AB191" s="9">
        <v>1.436953680648089</v>
      </c>
      <c r="AC191" s="9">
        <v>1.365602486965222</v>
      </c>
      <c r="AD191" s="9">
        <v>1.3672439954149</v>
      </c>
      <c r="AE191" s="9">
        <v>1.303559482318023</v>
      </c>
      <c r="AF191" s="9">
        <v>1.311124882727008</v>
      </c>
      <c r="AG191" s="9">
        <v>1.329859940862281</v>
      </c>
      <c r="AH191" s="9">
        <v>1.350486249194601</v>
      </c>
      <c r="AI191" s="9">
        <v>1.470547180549684</v>
      </c>
      <c r="AJ191" s="9">
        <v>1.283190457305139</v>
      </c>
      <c r="AK191" s="9">
        <v>1.384926471569109</v>
      </c>
      <c r="AL191" s="9">
        <v>1.46316742058813</v>
      </c>
      <c r="AM191" s="9">
        <v>1.296879135201694</v>
      </c>
      <c r="AN191" s="9">
        <v>1.392542391730631</v>
      </c>
      <c r="AO191" s="9">
        <v>1.389861588674104</v>
      </c>
      <c r="AP191" s="9">
        <v>1.449222379744685</v>
      </c>
      <c r="AQ191" s="9">
        <v>1.361913077817435</v>
      </c>
      <c r="AR191" s="9">
        <v>1.345774839524138</v>
      </c>
      <c r="AS191" s="9">
        <v>1.413615840856674</v>
      </c>
      <c r="AT191" s="9">
        <v>1.459258279929652</v>
      </c>
      <c r="AU191" s="9">
        <v>1.297542168655913</v>
      </c>
      <c r="AV191" s="9">
        <v>1.255949376500829</v>
      </c>
      <c r="AW191" s="9">
        <v>1.374494044548961</v>
      </c>
    </row>
    <row r="192" ht="15.0" customHeight="1">
      <c r="A192" s="5" t="s">
        <v>446</v>
      </c>
      <c r="B192" s="5" t="s">
        <v>447</v>
      </c>
      <c r="C192" s="5" t="s">
        <v>55</v>
      </c>
      <c r="D192" s="5" t="s">
        <v>52</v>
      </c>
      <c r="E192" s="5">
        <v>5.0</v>
      </c>
      <c r="F192" s="6">
        <v>0.09375</v>
      </c>
      <c r="G192" s="5">
        <v>60.0</v>
      </c>
      <c r="H192" s="5">
        <v>588.0</v>
      </c>
      <c r="I192" s="5" t="b">
        <v>0</v>
      </c>
      <c r="J192" s="5" t="b">
        <v>0</v>
      </c>
      <c r="K192" s="7">
        <v>26.4234375</v>
      </c>
      <c r="L192" s="8">
        <v>0.07111481047044851</v>
      </c>
      <c r="M192" s="9">
        <f t="shared" si="1"/>
        <v>1.482441916</v>
      </c>
      <c r="N192" s="7">
        <f t="shared" si="2"/>
        <v>50.40302514</v>
      </c>
      <c r="O192" s="9">
        <f t="shared" si="3"/>
        <v>10.08060503</v>
      </c>
      <c r="P192" s="9">
        <v>1.430159290971988</v>
      </c>
      <c r="Q192" s="9">
        <v>1.660603839229478</v>
      </c>
      <c r="R192" s="9">
        <v>1.469573470911292</v>
      </c>
      <c r="S192" s="9">
        <v>1.574149172125257</v>
      </c>
      <c r="T192" s="9">
        <v>1.398401979007415</v>
      </c>
      <c r="U192" s="9">
        <v>1.49317867271823</v>
      </c>
      <c r="V192" s="9">
        <v>1.479564300619412</v>
      </c>
      <c r="W192" s="9">
        <v>1.451420414959201</v>
      </c>
      <c r="X192" s="9">
        <v>1.485009746556987</v>
      </c>
      <c r="Y192" s="9">
        <v>1.337446822519488</v>
      </c>
      <c r="Z192" s="9">
        <v>1.605796459489302</v>
      </c>
      <c r="AA192" s="9">
        <v>1.406832319529804</v>
      </c>
      <c r="AB192" s="9">
        <v>1.583388305481765</v>
      </c>
      <c r="AC192" s="9">
        <v>1.478264083713682</v>
      </c>
      <c r="AD192" s="9">
        <v>1.480682575814392</v>
      </c>
      <c r="AE192" s="9">
        <v>1.386853944050436</v>
      </c>
      <c r="AF192" s="9">
        <v>1.39800031440961</v>
      </c>
      <c r="AG192" s="9">
        <v>1.425603334129283</v>
      </c>
      <c r="AH192" s="9">
        <v>1.455992799244908</v>
      </c>
      <c r="AI192" s="9">
        <v>1.632882789755115</v>
      </c>
      <c r="AJ192" s="9">
        <v>1.35684354349328</v>
      </c>
      <c r="AK192" s="9">
        <v>1.506734789501326</v>
      </c>
      <c r="AL192" s="9">
        <v>1.622009929992714</v>
      </c>
      <c r="AM192" s="9">
        <v>1.37701155381845</v>
      </c>
      <c r="AN192" s="9">
        <v>1.517955592387769</v>
      </c>
      <c r="AO192" s="9">
        <v>1.514005871009827</v>
      </c>
      <c r="AP192" s="9">
        <v>1.6014642111263</v>
      </c>
      <c r="AQ192" s="9">
        <v>1.472828347527278</v>
      </c>
      <c r="AR192" s="9">
        <v>1.449051313763398</v>
      </c>
      <c r="AS192" s="9">
        <v>1.54900384575254</v>
      </c>
      <c r="AT192" s="9">
        <v>1.616250455647674</v>
      </c>
      <c r="AU192" s="9">
        <v>1.377988424313298</v>
      </c>
      <c r="AV192" s="9">
        <v>1.316708301574235</v>
      </c>
      <c r="AW192" s="9">
        <v>1.49136432805509</v>
      </c>
    </row>
    <row r="193" ht="15.0" customHeight="1">
      <c r="A193" s="5" t="s">
        <v>448</v>
      </c>
      <c r="B193" s="5" t="s">
        <v>449</v>
      </c>
      <c r="C193" s="5" t="s">
        <v>55</v>
      </c>
      <c r="D193" s="5" t="s">
        <v>52</v>
      </c>
      <c r="E193" s="5">
        <v>7.5</v>
      </c>
      <c r="F193" s="6">
        <v>0.1333333333</v>
      </c>
      <c r="G193" s="5">
        <v>85.0</v>
      </c>
      <c r="H193" s="5">
        <v>496.0</v>
      </c>
      <c r="I193" s="5" t="b">
        <v>0</v>
      </c>
      <c r="J193" s="5" t="b">
        <v>0</v>
      </c>
      <c r="K193" s="7">
        <v>31.223333331265</v>
      </c>
      <c r="L193" s="8">
        <v>0.1135918160292193</v>
      </c>
      <c r="M193" s="9">
        <f t="shared" si="1"/>
        <v>1.898216176</v>
      </c>
      <c r="N193" s="7">
        <f t="shared" si="2"/>
        <v>64.53934999</v>
      </c>
      <c r="O193" s="9">
        <f t="shared" si="3"/>
        <v>8.605246665</v>
      </c>
      <c r="P193" s="9">
        <v>1.798485229548804</v>
      </c>
      <c r="Q193" s="9">
        <v>2.238066313111328</v>
      </c>
      <c r="R193" s="9">
        <v>1.873669164497392</v>
      </c>
      <c r="S193" s="9">
        <v>2.073150993863912</v>
      </c>
      <c r="T193" s="9">
        <v>1.737907039654627</v>
      </c>
      <c r="U193" s="9">
        <v>1.918696917449098</v>
      </c>
      <c r="V193" s="9">
        <v>1.892727023674328</v>
      </c>
      <c r="W193" s="9">
        <v>1.839041571587383</v>
      </c>
      <c r="X193" s="9">
        <v>1.903114403388104</v>
      </c>
      <c r="Y193" s="9">
        <v>1.621632934060484</v>
      </c>
      <c r="Z193" s="9">
        <v>2.133519307961571</v>
      </c>
      <c r="AA193" s="9">
        <v>1.753988210806882</v>
      </c>
      <c r="AB193" s="9">
        <v>2.090774965803115</v>
      </c>
      <c r="AC193" s="9">
        <v>1.890246814180943</v>
      </c>
      <c r="AD193" s="9">
        <v>1.894860172953177</v>
      </c>
      <c r="AE193" s="9">
        <v>1.715878756678132</v>
      </c>
      <c r="AF193" s="9">
        <v>1.737140850302496</v>
      </c>
      <c r="AG193" s="9">
        <v>1.789794581578507</v>
      </c>
      <c r="AH193" s="9">
        <v>1.847763555483176</v>
      </c>
      <c r="AI193" s="9">
        <v>2.185187435925589</v>
      </c>
      <c r="AJ193" s="9">
        <v>1.658632861755419</v>
      </c>
      <c r="AK193" s="9">
        <v>1.944555687159523</v>
      </c>
      <c r="AL193" s="9">
        <v>2.164447073387531</v>
      </c>
      <c r="AM193" s="9">
        <v>1.697104051024486</v>
      </c>
      <c r="AN193" s="9">
        <v>1.965959763448421</v>
      </c>
      <c r="AO193" s="9">
        <v>1.958425530956421</v>
      </c>
      <c r="AP193" s="9">
        <v>2.125255391787072</v>
      </c>
      <c r="AQ193" s="9">
        <v>1.879877956159144</v>
      </c>
      <c r="AR193" s="9">
        <v>1.834522427703984</v>
      </c>
      <c r="AS193" s="9">
        <v>2.025185399116573</v>
      </c>
      <c r="AT193" s="9">
        <v>2.153460673438012</v>
      </c>
      <c r="AU193" s="9">
        <v>1.698967465862774</v>
      </c>
      <c r="AV193" s="9">
        <v>1.582073475711257</v>
      </c>
      <c r="AW193" s="9">
        <v>1.915235991169828</v>
      </c>
    </row>
    <row r="194" ht="15.0" customHeight="1">
      <c r="A194" s="5" t="s">
        <v>450</v>
      </c>
      <c r="B194" s="5" t="s">
        <v>451</v>
      </c>
      <c r="C194" s="5" t="s">
        <v>55</v>
      </c>
      <c r="D194" s="5" t="s">
        <v>56</v>
      </c>
      <c r="E194" s="5">
        <v>7.5</v>
      </c>
      <c r="F194" s="6">
        <v>0.05882352941</v>
      </c>
      <c r="G194" s="5">
        <v>75.0</v>
      </c>
      <c r="H194" s="5">
        <v>493.0</v>
      </c>
      <c r="I194" s="5" t="b">
        <v>0</v>
      </c>
      <c r="J194" s="5" t="b">
        <v>0</v>
      </c>
      <c r="K194" s="7">
        <v>26.9811764704982</v>
      </c>
      <c r="L194" s="8">
        <v>0.1932587758631691</v>
      </c>
      <c r="M194" s="9">
        <f t="shared" si="1"/>
        <v>2.463200628</v>
      </c>
      <c r="N194" s="7">
        <f t="shared" si="2"/>
        <v>83.74882134</v>
      </c>
      <c r="O194" s="9">
        <f t="shared" si="3"/>
        <v>11.16650951</v>
      </c>
      <c r="P194" s="9">
        <v>2.301781908963084</v>
      </c>
      <c r="Q194" s="9">
        <v>3.013262322882652</v>
      </c>
      <c r="R194" s="9">
        <v>2.423470259889848</v>
      </c>
      <c r="S194" s="9">
        <v>2.746339964329568</v>
      </c>
      <c r="T194" s="9">
        <v>2.203733568777225</v>
      </c>
      <c r="U194" s="9">
        <v>2.496349565906188</v>
      </c>
      <c r="V194" s="9">
        <v>2.454316204000404</v>
      </c>
      <c r="W194" s="9">
        <v>2.367424048945133</v>
      </c>
      <c r="X194" s="9">
        <v>2.471128613575454</v>
      </c>
      <c r="Y194" s="9">
        <v>2.015539053886363</v>
      </c>
      <c r="Z194" s="9">
        <v>2.84404861173937</v>
      </c>
      <c r="AA194" s="9">
        <v>2.229761618517201</v>
      </c>
      <c r="AB194" s="9">
        <v>2.774865101827728</v>
      </c>
      <c r="AC194" s="9">
        <v>2.450301880948421</v>
      </c>
      <c r="AD194" s="9">
        <v>2.45776879554408</v>
      </c>
      <c r="AE194" s="9">
        <v>2.168079869207086</v>
      </c>
      <c r="AF194" s="9">
        <v>2.202493459187028</v>
      </c>
      <c r="AG194" s="9">
        <v>2.287715730853177</v>
      </c>
      <c r="AH194" s="9">
        <v>2.381540945564266</v>
      </c>
      <c r="AI194" s="9">
        <v>2.927675643121988</v>
      </c>
      <c r="AJ194" s="9">
        <v>2.075424988144592</v>
      </c>
      <c r="AK194" s="9">
        <v>2.538203068854768</v>
      </c>
      <c r="AL194" s="9">
        <v>2.894106496779683</v>
      </c>
      <c r="AM194" s="9">
        <v>2.137692220945662</v>
      </c>
      <c r="AN194" s="9">
        <v>2.57284646373012</v>
      </c>
      <c r="AO194" s="9">
        <v>2.560651992556494</v>
      </c>
      <c r="AP194" s="9">
        <v>2.830673116932408</v>
      </c>
      <c r="AQ194" s="9">
        <v>2.433519449508389</v>
      </c>
      <c r="AR194" s="9">
        <v>2.360109625097171</v>
      </c>
      <c r="AS194" s="9">
        <v>2.668705638193055</v>
      </c>
      <c r="AT194" s="9">
        <v>2.876324547838157</v>
      </c>
      <c r="AU194" s="9">
        <v>2.14070823598822</v>
      </c>
      <c r="AV194" s="9">
        <v>1.95151041195155</v>
      </c>
      <c r="AW194" s="9">
        <v>2.490747911618056</v>
      </c>
    </row>
    <row r="195" ht="15.0" customHeight="1">
      <c r="A195" s="5" t="s">
        <v>452</v>
      </c>
      <c r="B195" s="5" t="s">
        <v>453</v>
      </c>
      <c r="C195" s="5" t="s">
        <v>92</v>
      </c>
      <c r="D195" s="5" t="s">
        <v>83</v>
      </c>
      <c r="E195" s="5">
        <v>4.5</v>
      </c>
      <c r="F195" s="6">
        <v>0.5</v>
      </c>
      <c r="G195" s="5">
        <v>84.0</v>
      </c>
      <c r="H195" s="5">
        <v>1665.0</v>
      </c>
      <c r="I195" s="5" t="b">
        <v>1</v>
      </c>
      <c r="J195" s="5" t="b">
        <v>0</v>
      </c>
      <c r="K195" s="7">
        <v>84.0</v>
      </c>
      <c r="L195" s="8">
        <v>0.07735424481977522</v>
      </c>
      <c r="M195" s="9">
        <f t="shared" si="1"/>
        <v>3.152538874</v>
      </c>
      <c r="N195" s="7">
        <f t="shared" si="2"/>
        <v>107.1863217</v>
      </c>
      <c r="O195" s="9">
        <f t="shared" si="3"/>
        <v>23.8191826</v>
      </c>
      <c r="P195" s="9">
        <v>2.404114031954805</v>
      </c>
      <c r="Q195" s="9">
        <v>4.018031570634669</v>
      </c>
      <c r="R195" s="9">
        <v>3.084496915694973</v>
      </c>
      <c r="S195" s="9">
        <v>2.648988828126189</v>
      </c>
      <c r="T195" s="9">
        <v>3.324003900653331</v>
      </c>
      <c r="U195" s="9">
        <v>3.185532805758553</v>
      </c>
      <c r="V195" s="9">
        <v>3.386642650792137</v>
      </c>
      <c r="W195" s="9">
        <v>2.946429594128769</v>
      </c>
      <c r="X195" s="9">
        <v>2.656318889381303</v>
      </c>
      <c r="Y195" s="9">
        <v>3.700456338811287</v>
      </c>
      <c r="Z195" s="9">
        <v>2.475007967312924</v>
      </c>
      <c r="AA195" s="9">
        <v>3.538064004150088</v>
      </c>
      <c r="AB195" s="9">
        <v>3.203589633272701</v>
      </c>
      <c r="AC195" s="9">
        <v>3.210599707027151</v>
      </c>
      <c r="AD195" s="9">
        <v>3.82714287719362</v>
      </c>
      <c r="AE195" s="9">
        <v>2.756899585953168</v>
      </c>
      <c r="AF195" s="9">
        <v>3.609142468508869</v>
      </c>
      <c r="AG195" s="9">
        <v>2.513854838931819</v>
      </c>
      <c r="AH195" s="9">
        <v>2.773910643478428</v>
      </c>
      <c r="AI195" s="9">
        <v>3.091585855854888</v>
      </c>
      <c r="AJ195" s="9">
        <v>3.19094392173838</v>
      </c>
      <c r="AK195" s="9">
        <v>3.963967858051388</v>
      </c>
      <c r="AL195" s="9">
        <v>2.615734853348685</v>
      </c>
      <c r="AM195" s="9">
        <v>3.27338763906539</v>
      </c>
      <c r="AN195" s="9">
        <v>3.136561922088868</v>
      </c>
      <c r="AO195" s="9">
        <v>2.710079983883992</v>
      </c>
      <c r="AP195" s="9">
        <v>2.956335379766756</v>
      </c>
      <c r="AQ195" s="9">
        <v>2.887746465611097</v>
      </c>
      <c r="AR195" s="9">
        <v>3.365946670058644</v>
      </c>
      <c r="AS195" s="9">
        <v>3.127714827345444</v>
      </c>
      <c r="AT195" s="9">
        <v>2.690550066080063</v>
      </c>
      <c r="AU195" s="9">
        <v>3.847349923570157</v>
      </c>
      <c r="AV195" s="9">
        <v>4.045082782119246</v>
      </c>
      <c r="AW195" s="9">
        <v>3.020106301446762</v>
      </c>
    </row>
    <row r="196" ht="15.0" customHeight="1">
      <c r="A196" s="5" t="s">
        <v>454</v>
      </c>
      <c r="B196" s="5" t="s">
        <v>455</v>
      </c>
      <c r="C196" s="5" t="s">
        <v>92</v>
      </c>
      <c r="D196" s="5" t="s">
        <v>52</v>
      </c>
      <c r="E196" s="5">
        <v>5.5</v>
      </c>
      <c r="F196" s="6">
        <v>0.85</v>
      </c>
      <c r="G196" s="5">
        <v>89.0</v>
      </c>
      <c r="H196" s="5">
        <v>1716.0</v>
      </c>
      <c r="I196" s="5" t="b">
        <v>1</v>
      </c>
      <c r="J196" s="5" t="b">
        <v>0</v>
      </c>
      <c r="K196" s="7">
        <v>79.09249999999999</v>
      </c>
      <c r="L196" s="8">
        <v>0.05060881981695975</v>
      </c>
      <c r="M196" s="9">
        <f t="shared" si="1"/>
        <v>2.352875181</v>
      </c>
      <c r="N196" s="7">
        <f t="shared" si="2"/>
        <v>79.99775615</v>
      </c>
      <c r="O196" s="9">
        <f t="shared" si="3"/>
        <v>14.54504657</v>
      </c>
      <c r="P196" s="9">
        <v>0.0</v>
      </c>
      <c r="Q196" s="9">
        <v>2.686907488793767</v>
      </c>
      <c r="R196" s="9">
        <v>2.390510963327661</v>
      </c>
      <c r="S196" s="9">
        <v>2.254728125585989</v>
      </c>
      <c r="T196" s="9">
        <v>2.44781484813528</v>
      </c>
      <c r="U196" s="9">
        <v>2.427452768491463</v>
      </c>
      <c r="V196" s="9">
        <v>2.47759115168854</v>
      </c>
      <c r="W196" s="9">
        <v>2.332353787120352</v>
      </c>
      <c r="X196" s="9">
        <v>2.261810811769172</v>
      </c>
      <c r="Y196" s="9">
        <v>2.601195445315403</v>
      </c>
      <c r="Z196" s="9">
        <v>2.185278460217283</v>
      </c>
      <c r="AA196" s="9">
        <v>2.579316201822635</v>
      </c>
      <c r="AB196" s="9">
        <v>2.44824527138208</v>
      </c>
      <c r="AC196" s="9">
        <v>2.451765534763928</v>
      </c>
      <c r="AD196" s="9">
        <v>2.654777860651543</v>
      </c>
      <c r="AE196" s="9">
        <v>2.27697056779424</v>
      </c>
      <c r="AF196" s="9">
        <v>2.563165774254824</v>
      </c>
      <c r="AG196" s="9">
        <v>2.189616128542734</v>
      </c>
      <c r="AH196" s="9">
        <v>2.302952859445235</v>
      </c>
      <c r="AI196" s="9">
        <v>2.394335992733408</v>
      </c>
      <c r="AJ196" s="9">
        <v>2.435611452117131</v>
      </c>
      <c r="AK196" s="9">
        <v>2.661201046215327</v>
      </c>
      <c r="AL196" s="9">
        <v>2.232858935692496</v>
      </c>
      <c r="AM196" s="9">
        <v>2.449467475170261</v>
      </c>
      <c r="AN196" s="9">
        <v>2.428569985210613</v>
      </c>
      <c r="AO196" s="9">
        <v>2.278783389558457</v>
      </c>
      <c r="AP196" s="9">
        <v>2.374669279988432</v>
      </c>
      <c r="AQ196" s="9">
        <v>2.32487918397229</v>
      </c>
      <c r="AR196" s="9">
        <v>2.467451221429817</v>
      </c>
      <c r="AS196" s="9">
        <v>2.419364578904352</v>
      </c>
      <c r="AT196" s="9">
        <v>2.26034700082153</v>
      </c>
      <c r="AU196" s="9">
        <v>2.672416447510119</v>
      </c>
      <c r="AV196" s="9">
        <v>2.700283036093</v>
      </c>
      <c r="AW196" s="9">
        <v>2.365063073113684</v>
      </c>
    </row>
    <row r="197" ht="15.0" customHeight="1">
      <c r="A197" s="5" t="s">
        <v>456</v>
      </c>
      <c r="B197" s="5" t="s">
        <v>457</v>
      </c>
      <c r="C197" s="5" t="s">
        <v>92</v>
      </c>
      <c r="D197" s="5" t="s">
        <v>52</v>
      </c>
      <c r="E197" s="5">
        <v>5.5</v>
      </c>
      <c r="F197" s="6">
        <v>0.2307692308</v>
      </c>
      <c r="G197" s="5">
        <v>86.0</v>
      </c>
      <c r="H197" s="5">
        <v>536.0</v>
      </c>
      <c r="I197" s="5" t="b">
        <v>0</v>
      </c>
      <c r="J197" s="5" t="b">
        <v>0</v>
      </c>
      <c r="K197" s="7">
        <v>37.50000000193999</v>
      </c>
      <c r="L197" s="8">
        <v>0.03849115035375766</v>
      </c>
      <c r="M197" s="9">
        <f t="shared" si="1"/>
        <v>1.439160005</v>
      </c>
      <c r="N197" s="7">
        <f t="shared" si="2"/>
        <v>48.93144018</v>
      </c>
      <c r="O197" s="9">
        <f t="shared" si="3"/>
        <v>8.896625487</v>
      </c>
      <c r="P197" s="9">
        <v>1.231696965188402</v>
      </c>
      <c r="Q197" s="9">
        <v>1.63725173176768</v>
      </c>
      <c r="R197" s="9">
        <v>1.406770788628594</v>
      </c>
      <c r="S197" s="9">
        <v>1.307590805914469</v>
      </c>
      <c r="T197" s="9">
        <v>1.403131633315618</v>
      </c>
      <c r="U197" s="9">
        <v>1.448005109872745</v>
      </c>
      <c r="V197" s="9">
        <v>1.451720134116234</v>
      </c>
      <c r="W197" s="9">
        <v>1.324712646460939</v>
      </c>
      <c r="X197" s="9">
        <v>1.325329639883476</v>
      </c>
      <c r="Y197" s="9">
        <v>1.609485493592754</v>
      </c>
      <c r="Z197" s="9">
        <v>1.217034519734939</v>
      </c>
      <c r="AA197" s="9">
        <v>1.668811828104671</v>
      </c>
      <c r="AB197" s="9">
        <v>1.50290775200743</v>
      </c>
      <c r="AC197" s="9">
        <v>1.508974883948766</v>
      </c>
      <c r="AD197" s="9">
        <v>1.68551353145178</v>
      </c>
      <c r="AE197" s="9">
        <v>1.293972559758139</v>
      </c>
      <c r="AF197" s="9">
        <v>1.556667830282677</v>
      </c>
      <c r="AG197" s="9">
        <v>1.199840707289885</v>
      </c>
      <c r="AH197" s="9">
        <v>1.367113399980877</v>
      </c>
      <c r="AI197" s="9">
        <v>1.413794387534279</v>
      </c>
      <c r="AJ197" s="9">
        <v>1.47091527762451</v>
      </c>
      <c r="AK197" s="9">
        <v>1.595293342872812</v>
      </c>
      <c r="AL197" s="9">
        <v>1.261492096063833</v>
      </c>
      <c r="AM197" s="9">
        <v>1.450002361517752</v>
      </c>
      <c r="AN197" s="9">
        <v>1.491738708258003</v>
      </c>
      <c r="AO197" s="9">
        <v>1.338279411111738</v>
      </c>
      <c r="AP197" s="9">
        <v>1.458367062675456</v>
      </c>
      <c r="AQ197" s="9">
        <v>1.347597650904123</v>
      </c>
      <c r="AR197" s="9">
        <v>1.434655536705983</v>
      </c>
      <c r="AS197" s="9">
        <v>1.468128278895992</v>
      </c>
      <c r="AT197" s="9">
        <v>1.292471997664079</v>
      </c>
      <c r="AU197" s="9">
        <v>1.728095589429979</v>
      </c>
      <c r="AV197" s="9">
        <v>1.65996475069834</v>
      </c>
      <c r="AW197" s="9">
        <v>1.374111764837216</v>
      </c>
    </row>
    <row r="198" ht="15.0" customHeight="1">
      <c r="A198" s="5" t="s">
        <v>458</v>
      </c>
      <c r="B198" s="5" t="s">
        <v>459</v>
      </c>
      <c r="C198" s="5" t="s">
        <v>131</v>
      </c>
      <c r="D198" s="5" t="s">
        <v>52</v>
      </c>
      <c r="E198" s="5">
        <v>5.5</v>
      </c>
      <c r="F198" s="6">
        <v>0.4848484848</v>
      </c>
      <c r="G198" s="5">
        <v>75.0</v>
      </c>
      <c r="H198" s="5">
        <v>1606.0</v>
      </c>
      <c r="I198" s="5" t="b">
        <v>0</v>
      </c>
      <c r="J198" s="5" t="b">
        <v>0</v>
      </c>
      <c r="K198" s="7">
        <v>48.18636363384</v>
      </c>
      <c r="L198" s="8">
        <v>0.04590684620152177</v>
      </c>
      <c r="M198" s="9">
        <f t="shared" si="1"/>
        <v>1.100292287</v>
      </c>
      <c r="N198" s="7">
        <f t="shared" si="2"/>
        <v>37.40993777</v>
      </c>
      <c r="O198" s="9">
        <f t="shared" si="3"/>
        <v>6.801806867</v>
      </c>
      <c r="P198" s="9">
        <v>1.133998651978366</v>
      </c>
      <c r="Q198" s="9">
        <v>1.06768664965302</v>
      </c>
      <c r="R198" s="9">
        <v>1.124316561557981</v>
      </c>
      <c r="S198" s="9">
        <v>1.074342485490842</v>
      </c>
      <c r="T198" s="9">
        <v>1.079205202987773</v>
      </c>
      <c r="U198" s="9">
        <v>1.105278416431169</v>
      </c>
      <c r="V198" s="9">
        <v>1.083899736403712</v>
      </c>
      <c r="W198" s="9">
        <v>1.118533856062527</v>
      </c>
      <c r="X198" s="9">
        <v>1.105695663783566</v>
      </c>
      <c r="Y198" s="9">
        <v>1.135323166261948</v>
      </c>
      <c r="Z198" s="9">
        <v>1.100267142865326</v>
      </c>
      <c r="AA198" s="9">
        <v>1.097143977012829</v>
      </c>
      <c r="AB198" s="9">
        <v>1.131594532018322</v>
      </c>
      <c r="AC198" s="9">
        <v>1.069881794732395</v>
      </c>
      <c r="AD198" s="9">
        <v>1.083807365040437</v>
      </c>
      <c r="AE198" s="9">
        <v>1.085838473477344</v>
      </c>
      <c r="AF198" s="9">
        <v>1.102265735115286</v>
      </c>
      <c r="AG198" s="9">
        <v>1.081244018827507</v>
      </c>
      <c r="AH198" s="9">
        <v>1.096092459472577</v>
      </c>
      <c r="AI198" s="9">
        <v>1.130598238868451</v>
      </c>
      <c r="AJ198" s="9">
        <v>1.095547633992836</v>
      </c>
      <c r="AK198" s="9">
        <v>1.137823612864524</v>
      </c>
      <c r="AL198" s="9">
        <v>1.078980550728535</v>
      </c>
      <c r="AM198" s="9">
        <v>1.103817044532243</v>
      </c>
      <c r="AN198" s="9">
        <v>1.126441297838671</v>
      </c>
      <c r="AO198" s="9">
        <v>1.087233526457667</v>
      </c>
      <c r="AP198" s="9">
        <v>1.065112528378078</v>
      </c>
      <c r="AQ198" s="9">
        <v>1.10881318271558</v>
      </c>
      <c r="AR198" s="9">
        <v>1.091203009373659</v>
      </c>
      <c r="AS198" s="9">
        <v>1.102564747795997</v>
      </c>
      <c r="AT198" s="9">
        <v>1.090155269675202</v>
      </c>
      <c r="AU198" s="9">
        <v>1.10101567134395</v>
      </c>
      <c r="AV198" s="9">
        <v>1.111393646279785</v>
      </c>
      <c r="AW198" s="9">
        <v>1.102821919089763</v>
      </c>
    </row>
    <row r="199" ht="15.0" customHeight="1">
      <c r="A199" s="5" t="s">
        <v>460</v>
      </c>
      <c r="B199" s="5" t="s">
        <v>461</v>
      </c>
      <c r="C199" s="5" t="s">
        <v>64</v>
      </c>
      <c r="D199" s="5" t="s">
        <v>83</v>
      </c>
      <c r="E199" s="5">
        <v>5.0</v>
      </c>
      <c r="F199" s="6">
        <v>0.4482758621</v>
      </c>
      <c r="G199" s="5">
        <v>89.0</v>
      </c>
      <c r="H199" s="5">
        <v>1662.0</v>
      </c>
      <c r="I199" s="5" t="b">
        <v>1</v>
      </c>
      <c r="J199" s="5" t="b">
        <v>0</v>
      </c>
      <c r="K199" s="7">
        <v>89.0</v>
      </c>
      <c r="L199" s="8">
        <v>0.07085014737110613</v>
      </c>
      <c r="M199" s="9">
        <f t="shared" si="1"/>
        <v>3.145577349</v>
      </c>
      <c r="N199" s="7">
        <f t="shared" si="2"/>
        <v>106.9496299</v>
      </c>
      <c r="O199" s="9">
        <f t="shared" si="3"/>
        <v>21.38992597</v>
      </c>
      <c r="P199" s="9">
        <v>3.342080477198221</v>
      </c>
      <c r="Q199" s="9">
        <v>3.374585170009012</v>
      </c>
      <c r="R199" s="9">
        <v>3.568617124682651</v>
      </c>
      <c r="S199" s="9">
        <v>3.141410466017697</v>
      </c>
      <c r="T199" s="9">
        <v>2.912134276211158</v>
      </c>
      <c r="U199" s="9">
        <v>3.367621668824734</v>
      </c>
      <c r="V199" s="9">
        <v>3.619757785921595</v>
      </c>
      <c r="W199" s="9">
        <v>2.729924002325125</v>
      </c>
      <c r="X199" s="9">
        <v>3.648187269515454</v>
      </c>
      <c r="Y199" s="9">
        <v>3.072121465796971</v>
      </c>
      <c r="Z199" s="9">
        <v>2.704249143700495</v>
      </c>
      <c r="AA199" s="9">
        <v>2.810263945844996</v>
      </c>
      <c r="AB199" s="9">
        <v>2.753063827614094</v>
      </c>
      <c r="AC199" s="9">
        <v>3.003756371100997</v>
      </c>
      <c r="AD199" s="9">
        <v>3.040262749601333</v>
      </c>
      <c r="AE199" s="9">
        <v>2.669456196061897</v>
      </c>
      <c r="AF199" s="9">
        <v>3.850513042444731</v>
      </c>
      <c r="AG199" s="9">
        <v>3.870439082288351</v>
      </c>
      <c r="AH199" s="9">
        <v>2.880271261361513</v>
      </c>
      <c r="AI199" s="9">
        <v>3.879002453331953</v>
      </c>
      <c r="AJ199" s="9">
        <v>2.660407440407254</v>
      </c>
      <c r="AK199" s="9">
        <v>2.536271361915871</v>
      </c>
      <c r="AL199" s="9">
        <v>3.518597195678977</v>
      </c>
      <c r="AM199" s="9">
        <v>3.082246127788295</v>
      </c>
      <c r="AN199" s="9">
        <v>3.155360008039961</v>
      </c>
      <c r="AO199" s="9">
        <v>3.083539393294057</v>
      </c>
      <c r="AP199" s="9">
        <v>3.157118745333275</v>
      </c>
      <c r="AQ199" s="9">
        <v>3.125072986918473</v>
      </c>
      <c r="AR199" s="9">
        <v>3.127199198892933</v>
      </c>
      <c r="AS199" s="9">
        <v>2.607713418211786</v>
      </c>
      <c r="AT199" s="9">
        <v>3.635314893093724</v>
      </c>
      <c r="AU199" s="9">
        <v>3.350758944642902</v>
      </c>
      <c r="AV199" s="9">
        <v>2.419363942824887</v>
      </c>
      <c r="AW199" s="9">
        <v>3.25294841560001</v>
      </c>
    </row>
    <row r="200" ht="15.0" customHeight="1">
      <c r="A200" s="5" t="s">
        <v>462</v>
      </c>
      <c r="B200" s="5" t="s">
        <v>463</v>
      </c>
      <c r="C200" s="5" t="s">
        <v>64</v>
      </c>
      <c r="D200" s="5" t="s">
        <v>52</v>
      </c>
      <c r="E200" s="5">
        <v>6.5</v>
      </c>
      <c r="F200" s="6">
        <v>0.1176470588</v>
      </c>
      <c r="G200" s="5">
        <v>74.0</v>
      </c>
      <c r="H200" s="5">
        <v>1101.0</v>
      </c>
      <c r="I200" s="5" t="b">
        <v>0</v>
      </c>
      <c r="J200" s="5" t="b">
        <v>0</v>
      </c>
      <c r="K200" s="7">
        <v>28.95588235174</v>
      </c>
      <c r="L200" s="8">
        <v>0.0609647687562101</v>
      </c>
      <c r="M200" s="9">
        <f t="shared" si="1"/>
        <v>1.518250269</v>
      </c>
      <c r="N200" s="7">
        <f t="shared" si="2"/>
        <v>51.62050913</v>
      </c>
      <c r="O200" s="9">
        <f t="shared" si="3"/>
        <v>7.94161679</v>
      </c>
      <c r="P200" s="9">
        <v>1.711009408860205</v>
      </c>
      <c r="Q200" s="9">
        <v>1.52235382504617</v>
      </c>
      <c r="R200" s="9">
        <v>1.65945403118883</v>
      </c>
      <c r="S200" s="9">
        <v>1.539034661325152</v>
      </c>
      <c r="T200" s="9">
        <v>1.431869995390328</v>
      </c>
      <c r="U200" s="9">
        <v>1.507524461804139</v>
      </c>
      <c r="V200" s="9">
        <v>1.762527789863366</v>
      </c>
      <c r="W200" s="9">
        <v>1.383965065892267</v>
      </c>
      <c r="X200" s="9">
        <v>1.689366311094338</v>
      </c>
      <c r="Y200" s="9">
        <v>1.536612722177883</v>
      </c>
      <c r="Z200" s="9">
        <v>1.423772320459267</v>
      </c>
      <c r="AA200" s="9">
        <v>1.385269074409144</v>
      </c>
      <c r="AB200" s="9">
        <v>1.448829442193665</v>
      </c>
      <c r="AC200" s="9">
        <v>1.411982620638691</v>
      </c>
      <c r="AD200" s="9">
        <v>1.454911114796885</v>
      </c>
      <c r="AE200" s="9">
        <v>1.357043117311374</v>
      </c>
      <c r="AF200" s="9">
        <v>1.647120862514998</v>
      </c>
      <c r="AG200" s="9">
        <v>1.683583263297955</v>
      </c>
      <c r="AH200" s="9">
        <v>1.528130094809752</v>
      </c>
      <c r="AI200" s="9">
        <v>1.703321180340379</v>
      </c>
      <c r="AJ200" s="9">
        <v>1.397103512346151</v>
      </c>
      <c r="AK200" s="9">
        <v>1.318408889243066</v>
      </c>
      <c r="AL200" s="9">
        <v>1.613554775789467</v>
      </c>
      <c r="AM200" s="9">
        <v>1.48329224300572</v>
      </c>
      <c r="AN200" s="9">
        <v>1.511869343598618</v>
      </c>
      <c r="AO200" s="9">
        <v>1.489395844335111</v>
      </c>
      <c r="AP200" s="9">
        <v>1.519125419322015</v>
      </c>
      <c r="AQ200" s="9">
        <v>1.566836549188659</v>
      </c>
      <c r="AR200" s="9">
        <v>1.572108967941495</v>
      </c>
      <c r="AS200" s="9">
        <v>1.303467236408649</v>
      </c>
      <c r="AT200" s="9">
        <v>1.725523412310773</v>
      </c>
      <c r="AU200" s="9">
        <v>1.480129768396277</v>
      </c>
      <c r="AV200" s="9">
        <v>1.331150750326485</v>
      </c>
      <c r="AW200" s="9">
        <v>1.520861057697625</v>
      </c>
    </row>
    <row r="201" ht="15.0" customHeight="1">
      <c r="A201" s="5" t="s">
        <v>464</v>
      </c>
      <c r="B201" s="5" t="s">
        <v>465</v>
      </c>
      <c r="C201" s="5" t="s">
        <v>100</v>
      </c>
      <c r="D201" s="5" t="s">
        <v>83</v>
      </c>
      <c r="E201" s="5">
        <v>4.5</v>
      </c>
      <c r="F201" s="6"/>
      <c r="G201" s="5"/>
      <c r="H201" s="5">
        <v>1966.0</v>
      </c>
      <c r="I201" s="5" t="b">
        <v>0</v>
      </c>
      <c r="J201" s="5" t="b">
        <v>0</v>
      </c>
      <c r="K201" s="7">
        <v>16.24</v>
      </c>
      <c r="L201" s="8">
        <v>0.04854480793874492</v>
      </c>
      <c r="M201" s="9">
        <f t="shared" si="1"/>
        <v>1.058981621</v>
      </c>
      <c r="N201" s="7">
        <f t="shared" si="2"/>
        <v>36.00537512</v>
      </c>
      <c r="O201" s="9">
        <f t="shared" si="3"/>
        <v>8.001194472</v>
      </c>
      <c r="P201" s="9">
        <v>1.059641983556741</v>
      </c>
      <c r="Q201" s="9">
        <v>1.044728018398629</v>
      </c>
      <c r="R201" s="9">
        <v>1.053047785391173</v>
      </c>
      <c r="S201" s="9">
        <v>1.062270246739407</v>
      </c>
      <c r="T201" s="9">
        <v>1.05520120654841</v>
      </c>
      <c r="U201" s="9">
        <v>1.053607784738993</v>
      </c>
      <c r="V201" s="9">
        <v>1.051203488691487</v>
      </c>
      <c r="W201" s="9">
        <v>1.07101515995052</v>
      </c>
      <c r="X201" s="9">
        <v>1.076474613900817</v>
      </c>
      <c r="Y201" s="9">
        <v>1.050385071357751</v>
      </c>
      <c r="Z201" s="9">
        <v>1.068493581740448</v>
      </c>
      <c r="AA201" s="9">
        <v>1.059865245803672</v>
      </c>
      <c r="AB201" s="9">
        <v>1.060264707047545</v>
      </c>
      <c r="AC201" s="9">
        <v>1.057163919725051</v>
      </c>
      <c r="AD201" s="9">
        <v>1.059140185484155</v>
      </c>
      <c r="AE201" s="9">
        <v>1.069346489083938</v>
      </c>
      <c r="AF201" s="9">
        <v>1.046642487659415</v>
      </c>
      <c r="AG201" s="9">
        <v>1.059762012622698</v>
      </c>
      <c r="AH201" s="9">
        <v>1.05694521698212</v>
      </c>
      <c r="AI201" s="9">
        <v>1.04576131695826</v>
      </c>
      <c r="AJ201" s="9">
        <v>1.071415089933133</v>
      </c>
      <c r="AK201" s="9">
        <v>1.062941474069332</v>
      </c>
      <c r="AL201" s="9">
        <v>1.060851328001633</v>
      </c>
      <c r="AM201" s="9">
        <v>1.058839712695116</v>
      </c>
      <c r="AN201" s="9">
        <v>1.072380146908528</v>
      </c>
      <c r="AO201" s="9">
        <v>1.050294891901892</v>
      </c>
      <c r="AP201" s="9">
        <v>1.063306091207975</v>
      </c>
      <c r="AQ201" s="9">
        <v>1.057586017770837</v>
      </c>
      <c r="AR201" s="9">
        <v>1.054780624996242</v>
      </c>
      <c r="AS201" s="9">
        <v>1.072911830755268</v>
      </c>
      <c r="AT201" s="9">
        <v>1.052269541473457</v>
      </c>
      <c r="AU201" s="9">
        <v>1.066172299787887</v>
      </c>
      <c r="AV201" s="9">
        <v>1.04843308912817</v>
      </c>
      <c r="AW201" s="9">
        <v>1.052232461947502</v>
      </c>
    </row>
    <row r="202" ht="15.0" customHeight="1">
      <c r="A202" s="5" t="s">
        <v>466</v>
      </c>
      <c r="B202" s="5" t="s">
        <v>467</v>
      </c>
      <c r="C202" s="5" t="s">
        <v>51</v>
      </c>
      <c r="D202" s="5" t="s">
        <v>83</v>
      </c>
      <c r="E202" s="5">
        <v>5.0</v>
      </c>
      <c r="F202" s="6">
        <v>0.2727272727</v>
      </c>
      <c r="G202" s="5">
        <v>72.0</v>
      </c>
      <c r="H202" s="5">
        <v>882.0</v>
      </c>
      <c r="I202" s="5" t="b">
        <v>0</v>
      </c>
      <c r="J202" s="5" t="b">
        <v>0</v>
      </c>
      <c r="K202" s="7">
        <v>31.447272725752</v>
      </c>
      <c r="L202" s="8">
        <v>0.1040607590138885</v>
      </c>
      <c r="M202" s="9">
        <f t="shared" si="1"/>
        <v>1.46224077</v>
      </c>
      <c r="N202" s="7">
        <f t="shared" si="2"/>
        <v>49.71618617</v>
      </c>
      <c r="O202" s="9">
        <f t="shared" si="3"/>
        <v>9.943237234</v>
      </c>
      <c r="P202" s="9">
        <v>1.582046530349459</v>
      </c>
      <c r="Q202" s="9">
        <v>1.437320361428456</v>
      </c>
      <c r="R202" s="9">
        <v>1.471492996764769</v>
      </c>
      <c r="S202" s="9">
        <v>1.361959890766312</v>
      </c>
      <c r="T202" s="9">
        <v>1.361016130620394</v>
      </c>
      <c r="U202" s="9">
        <v>1.527178862925829</v>
      </c>
      <c r="V202" s="9">
        <v>1.302756815350367</v>
      </c>
      <c r="W202" s="9">
        <v>1.497182968607619</v>
      </c>
      <c r="X202" s="9">
        <v>1.430614152790292</v>
      </c>
      <c r="Y202" s="9">
        <v>1.395686734890337</v>
      </c>
      <c r="Z202" s="9">
        <v>1.592146195547545</v>
      </c>
      <c r="AA202" s="9">
        <v>1.450440725633465</v>
      </c>
      <c r="AB202" s="9">
        <v>1.381681542160671</v>
      </c>
      <c r="AC202" s="9">
        <v>1.634996251908022</v>
      </c>
      <c r="AD202" s="9">
        <v>1.341531701038638</v>
      </c>
      <c r="AE202" s="9">
        <v>1.597710456498155</v>
      </c>
      <c r="AF202" s="9">
        <v>1.608214788208478</v>
      </c>
      <c r="AG202" s="9">
        <v>1.313570653049093</v>
      </c>
      <c r="AH202" s="9">
        <v>1.453585280460588</v>
      </c>
      <c r="AI202" s="9">
        <v>1.551471905874543</v>
      </c>
      <c r="AJ202" s="9">
        <v>1.461173295119044</v>
      </c>
      <c r="AK202" s="9">
        <v>1.381293491706252</v>
      </c>
      <c r="AL202" s="9">
        <v>1.577861120544595</v>
      </c>
      <c r="AM202" s="9">
        <v>1.412362462028473</v>
      </c>
      <c r="AN202" s="9">
        <v>1.460092923087381</v>
      </c>
      <c r="AO202" s="9">
        <v>1.46535379940593</v>
      </c>
      <c r="AP202" s="9">
        <v>1.370524919851424</v>
      </c>
      <c r="AQ202" s="9">
        <v>1.43290295494169</v>
      </c>
      <c r="AR202" s="9">
        <v>1.473245845472004</v>
      </c>
      <c r="AS202" s="9">
        <v>1.458836776133257</v>
      </c>
      <c r="AT202" s="9">
        <v>1.493367120300559</v>
      </c>
      <c r="AU202" s="9">
        <v>1.560397885204128</v>
      </c>
      <c r="AV202" s="9">
        <v>1.486342487064489</v>
      </c>
      <c r="AW202" s="9">
        <v>1.389826142129152</v>
      </c>
    </row>
    <row r="203" ht="15.0" customHeight="1">
      <c r="A203" s="5" t="s">
        <v>468</v>
      </c>
      <c r="B203" s="5" t="s">
        <v>469</v>
      </c>
      <c r="C203" s="5" t="s">
        <v>51</v>
      </c>
      <c r="D203" s="5" t="s">
        <v>52</v>
      </c>
      <c r="E203" s="5">
        <v>7.5</v>
      </c>
      <c r="F203" s="6">
        <v>0.1515151515</v>
      </c>
      <c r="G203" s="5">
        <v>83.0</v>
      </c>
      <c r="H203" s="5">
        <v>1077.0</v>
      </c>
      <c r="I203" s="5" t="b">
        <v>0</v>
      </c>
      <c r="J203" s="5" t="b">
        <v>0</v>
      </c>
      <c r="K203" s="7">
        <v>32.048484847575</v>
      </c>
      <c r="L203" s="8">
        <v>0.09900578697238208</v>
      </c>
      <c r="M203" s="9">
        <f t="shared" si="1"/>
        <v>1.874190427</v>
      </c>
      <c r="N203" s="7">
        <f t="shared" si="2"/>
        <v>63.72247452</v>
      </c>
      <c r="O203" s="9">
        <f t="shared" si="3"/>
        <v>8.496329935</v>
      </c>
      <c r="P203" s="9">
        <v>2.147264628745822</v>
      </c>
      <c r="Q203" s="9">
        <v>1.817389146724347</v>
      </c>
      <c r="R203" s="9">
        <v>1.895279100127753</v>
      </c>
      <c r="S203" s="9">
        <v>1.645619440040484</v>
      </c>
      <c r="T203" s="9">
        <v>1.643468320202459</v>
      </c>
      <c r="U203" s="9">
        <v>2.022204327808517</v>
      </c>
      <c r="V203" s="9">
        <v>1.510677409959881</v>
      </c>
      <c r="W203" s="9">
        <v>1.953834452680502</v>
      </c>
      <c r="X203" s="9">
        <v>1.802103633236744</v>
      </c>
      <c r="Y203" s="9">
        <v>1.722493298067838</v>
      </c>
      <c r="Z203" s="9">
        <v>2.170284874153497</v>
      </c>
      <c r="AA203" s="9">
        <v>1.847294494863474</v>
      </c>
      <c r="AB203" s="9">
        <v>1.6905711533932</v>
      </c>
      <c r="AC203" s="9">
        <v>2.267953340761462</v>
      </c>
      <c r="AD203" s="9">
        <v>1.599057308371534</v>
      </c>
      <c r="AE203" s="9">
        <v>2.182967537398577</v>
      </c>
      <c r="AF203" s="9">
        <v>2.206910142333747</v>
      </c>
      <c r="AG203" s="9">
        <v>1.535325474300728</v>
      </c>
      <c r="AH203" s="9">
        <v>1.854461903128846</v>
      </c>
      <c r="AI203" s="9">
        <v>2.077575649472185</v>
      </c>
      <c r="AJ203" s="9">
        <v>1.871757323934262</v>
      </c>
      <c r="AK203" s="9">
        <v>1.689686666975474</v>
      </c>
      <c r="AL203" s="9">
        <v>2.137724791637367</v>
      </c>
      <c r="AM203" s="9">
        <v>1.760502412582254</v>
      </c>
      <c r="AN203" s="9">
        <v>1.869294823562944</v>
      </c>
      <c r="AO203" s="9">
        <v>1.881285979857448</v>
      </c>
      <c r="AP203" s="9">
        <v>1.665141777424552</v>
      </c>
      <c r="AQ203" s="9">
        <v>1.807320517775134</v>
      </c>
      <c r="AR203" s="9">
        <v>1.899274381813994</v>
      </c>
      <c r="AS203" s="9">
        <v>1.866431678044267</v>
      </c>
      <c r="AT203" s="9">
        <v>1.945136959967216</v>
      </c>
      <c r="AU203" s="9">
        <v>2.097920703554752</v>
      </c>
      <c r="AV203" s="9">
        <v>1.929125658817958</v>
      </c>
      <c r="AW203" s="9">
        <v>1.709135203423027</v>
      </c>
    </row>
    <row r="204" ht="15.0" customHeight="1">
      <c r="A204" s="5" t="s">
        <v>470</v>
      </c>
      <c r="B204" s="5" t="s">
        <v>471</v>
      </c>
      <c r="C204" s="5" t="s">
        <v>51</v>
      </c>
      <c r="D204" s="5" t="s">
        <v>52</v>
      </c>
      <c r="E204" s="5">
        <v>6.0</v>
      </c>
      <c r="F204" s="6">
        <v>0.1739130435</v>
      </c>
      <c r="G204" s="5">
        <v>69.0</v>
      </c>
      <c r="H204" s="5">
        <v>1136.0</v>
      </c>
      <c r="I204" s="5" t="b">
        <v>1</v>
      </c>
      <c r="J204" s="5" t="b">
        <v>0</v>
      </c>
      <c r="K204" s="7">
        <v>74.05</v>
      </c>
      <c r="L204" s="8">
        <v>0.06539118177676995</v>
      </c>
      <c r="M204" s="9">
        <f t="shared" si="1"/>
        <v>2.852386113</v>
      </c>
      <c r="N204" s="7">
        <f t="shared" si="2"/>
        <v>96.98112784</v>
      </c>
      <c r="O204" s="9">
        <f t="shared" si="3"/>
        <v>16.16352131</v>
      </c>
      <c r="P204" s="9">
        <v>3.162204611609254</v>
      </c>
      <c r="Q204" s="9">
        <v>2.796699647540585</v>
      </c>
      <c r="R204" s="9">
        <v>2.845510402259245</v>
      </c>
      <c r="S204" s="9">
        <v>2.60735860891706</v>
      </c>
      <c r="T204" s="9">
        <v>2.582956095993374</v>
      </c>
      <c r="U204" s="9">
        <v>3.046141390936763</v>
      </c>
      <c r="V204" s="9">
        <v>2.459255952992622</v>
      </c>
      <c r="W204" s="9">
        <v>2.899285072907822</v>
      </c>
      <c r="X204" s="9">
        <v>2.856381797794783</v>
      </c>
      <c r="Y204" s="9">
        <v>2.686899056853532</v>
      </c>
      <c r="Z204" s="9">
        <v>3.234006481397635</v>
      </c>
      <c r="AA204" s="9">
        <v>2.890902636251549</v>
      </c>
      <c r="AB204" s="9">
        <v>2.590606344814292</v>
      </c>
      <c r="AC204" s="9">
        <v>3.235990877379659</v>
      </c>
      <c r="AD204" s="9">
        <v>2.535941039630585</v>
      </c>
      <c r="AE204" s="9">
        <v>3.108636613878991</v>
      </c>
      <c r="AF204" s="9">
        <v>3.198973732876814</v>
      </c>
      <c r="AG204" s="9">
        <v>2.453893786851219</v>
      </c>
      <c r="AH204" s="9">
        <v>2.840531559053863</v>
      </c>
      <c r="AI204" s="9">
        <v>3.164903136603878</v>
      </c>
      <c r="AJ204" s="9">
        <v>2.909035860907597</v>
      </c>
      <c r="AK204" s="9">
        <v>2.690169497009916</v>
      </c>
      <c r="AL204" s="9">
        <v>3.210084987573584</v>
      </c>
      <c r="AM204" s="9">
        <v>2.747180506210742</v>
      </c>
      <c r="AN204" s="9">
        <v>2.876038694196995</v>
      </c>
      <c r="AO204" s="9">
        <v>2.783462304222053</v>
      </c>
      <c r="AP204" s="9">
        <v>2.576954871781548</v>
      </c>
      <c r="AQ204" s="9">
        <v>2.78964569677866</v>
      </c>
      <c r="AR204" s="9">
        <v>2.866708168835285</v>
      </c>
      <c r="AS204" s="9">
        <v>2.848978401901608</v>
      </c>
      <c r="AT204" s="9">
        <v>2.892921806204587</v>
      </c>
      <c r="AU204" s="9">
        <v>3.109362173621042</v>
      </c>
      <c r="AV204" s="9">
        <v>2.864561859703819</v>
      </c>
      <c r="AW204" s="9">
        <v>2.618944168640171</v>
      </c>
    </row>
    <row r="205" ht="15.0" customHeight="1">
      <c r="A205" s="5" t="s">
        <v>472</v>
      </c>
      <c r="B205" s="5" t="s">
        <v>473</v>
      </c>
      <c r="C205" s="5" t="s">
        <v>76</v>
      </c>
      <c r="D205" s="5" t="s">
        <v>83</v>
      </c>
      <c r="E205" s="5">
        <v>4.5</v>
      </c>
      <c r="F205" s="6">
        <v>0.8709677419</v>
      </c>
      <c r="G205" s="5">
        <v>85.0</v>
      </c>
      <c r="H205" s="5">
        <v>2575.0</v>
      </c>
      <c r="I205" s="5" t="b">
        <v>1</v>
      </c>
      <c r="J205" s="5" t="b">
        <v>0</v>
      </c>
      <c r="K205" s="7">
        <v>76.127741933044</v>
      </c>
      <c r="L205" s="8">
        <v>0.05063740406804655</v>
      </c>
      <c r="M205" s="9">
        <f t="shared" si="1"/>
        <v>3.027348367</v>
      </c>
      <c r="N205" s="7">
        <f t="shared" si="2"/>
        <v>102.9298445</v>
      </c>
      <c r="O205" s="9">
        <f t="shared" si="3"/>
        <v>22.87329877</v>
      </c>
      <c r="P205" s="9">
        <v>2.893484942522582</v>
      </c>
      <c r="Q205" s="9">
        <v>2.630294532369192</v>
      </c>
      <c r="R205" s="9">
        <v>3.502709171003407</v>
      </c>
      <c r="S205" s="9">
        <v>3.251721534522551</v>
      </c>
      <c r="T205" s="9">
        <v>2.968350103833984</v>
      </c>
      <c r="U205" s="9">
        <v>3.216888639206022</v>
      </c>
      <c r="V205" s="9">
        <v>2.928149541231723</v>
      </c>
      <c r="W205" s="9">
        <v>2.33547032496886</v>
      </c>
      <c r="X205" s="9">
        <v>3.438689466596107</v>
      </c>
      <c r="Y205" s="9">
        <v>3.22922768529033</v>
      </c>
      <c r="Z205" s="9">
        <v>2.944959239245572</v>
      </c>
      <c r="AA205" s="9">
        <v>2.804768245715303</v>
      </c>
      <c r="AB205" s="9">
        <v>2.563657774331578</v>
      </c>
      <c r="AC205" s="9">
        <v>3.038753243305726</v>
      </c>
      <c r="AD205" s="9">
        <v>3.734020880916231</v>
      </c>
      <c r="AE205" s="9">
        <v>3.486816560286168</v>
      </c>
      <c r="AF205" s="9">
        <v>2.707357403063754</v>
      </c>
      <c r="AG205" s="9">
        <v>2.57274804182709</v>
      </c>
      <c r="AH205" s="9">
        <v>3.390637788344707</v>
      </c>
      <c r="AI205" s="9">
        <v>2.514383596711133</v>
      </c>
      <c r="AJ205" s="9">
        <v>3.040345098870376</v>
      </c>
      <c r="AK205" s="9">
        <v>2.772796513687693</v>
      </c>
      <c r="AL205" s="9">
        <v>3.742045776230997</v>
      </c>
      <c r="AM205" s="9">
        <v>2.969509643819001</v>
      </c>
      <c r="AN205" s="9">
        <v>2.446223852579734</v>
      </c>
      <c r="AO205" s="9">
        <v>3.515971429270965</v>
      </c>
      <c r="AP205" s="9">
        <v>3.02480622421442</v>
      </c>
      <c r="AQ205" s="9">
        <v>2.957749560447401</v>
      </c>
      <c r="AR205" s="9">
        <v>2.553363588321052</v>
      </c>
      <c r="AS205" s="9">
        <v>3.715162620447243</v>
      </c>
      <c r="AT205" s="9">
        <v>3.133356533372163</v>
      </c>
      <c r="AU205" s="9">
        <v>3.245189933629511</v>
      </c>
      <c r="AV205" s="9">
        <v>3.008549252646588</v>
      </c>
      <c r="AW205" s="9">
        <v>2.651685734442295</v>
      </c>
    </row>
    <row r="206" ht="15.0" customHeight="1">
      <c r="A206" s="5" t="s">
        <v>474</v>
      </c>
      <c r="B206" s="5" t="s">
        <v>475</v>
      </c>
      <c r="C206" s="5" t="s">
        <v>76</v>
      </c>
      <c r="D206" s="5" t="s">
        <v>83</v>
      </c>
      <c r="E206" s="5">
        <v>4.5</v>
      </c>
      <c r="F206" s="6">
        <v>0.8529411765</v>
      </c>
      <c r="G206" s="5">
        <v>88.0</v>
      </c>
      <c r="H206" s="5">
        <v>2772.0</v>
      </c>
      <c r="I206" s="5" t="b">
        <v>1</v>
      </c>
      <c r="J206" s="5" t="b">
        <v>0</v>
      </c>
      <c r="K206" s="7">
        <v>77.44705882564</v>
      </c>
      <c r="L206" s="8">
        <v>0.06226034998069542</v>
      </c>
      <c r="M206" s="9">
        <f t="shared" si="1"/>
        <v>3.454175839</v>
      </c>
      <c r="N206" s="7">
        <f t="shared" si="2"/>
        <v>117.4419785</v>
      </c>
      <c r="O206" s="9">
        <f t="shared" si="3"/>
        <v>26.09821745</v>
      </c>
      <c r="P206" s="9">
        <v>3.250364126531677</v>
      </c>
      <c r="Q206" s="9">
        <v>2.966078603541949</v>
      </c>
      <c r="R206" s="9">
        <v>4.069817240711435</v>
      </c>
      <c r="S206" s="9">
        <v>3.684195141255691</v>
      </c>
      <c r="T206" s="9">
        <v>3.372337723588569</v>
      </c>
      <c r="U206" s="9">
        <v>3.771415101561424</v>
      </c>
      <c r="V206" s="9">
        <v>3.313272969982345</v>
      </c>
      <c r="W206" s="9">
        <v>2.63371613263886</v>
      </c>
      <c r="X206" s="9">
        <v>3.962210018042144</v>
      </c>
      <c r="Y206" s="9">
        <v>3.634048871988566</v>
      </c>
      <c r="Z206" s="9">
        <v>3.396609406466383</v>
      </c>
      <c r="AA206" s="9">
        <v>3.173572961620638</v>
      </c>
      <c r="AB206" s="9">
        <v>2.907231561824932</v>
      </c>
      <c r="AC206" s="9">
        <v>3.46206636465705</v>
      </c>
      <c r="AD206" s="9">
        <v>4.276468576877136</v>
      </c>
      <c r="AE206" s="9">
        <v>4.077764798044865</v>
      </c>
      <c r="AF206" s="9">
        <v>3.044840308590914</v>
      </c>
      <c r="AG206" s="9">
        <v>2.890423041437968</v>
      </c>
      <c r="AH206" s="9">
        <v>3.883837961512115</v>
      </c>
      <c r="AI206" s="9">
        <v>2.796641970774526</v>
      </c>
      <c r="AJ206" s="9">
        <v>3.46838505173766</v>
      </c>
      <c r="AK206" s="9">
        <v>3.203720710883621</v>
      </c>
      <c r="AL206" s="9">
        <v>4.297392234146989</v>
      </c>
      <c r="AM206" s="9">
        <v>3.37747135214893</v>
      </c>
      <c r="AN206" s="9">
        <v>2.737425382453552</v>
      </c>
      <c r="AO206" s="9">
        <v>4.059760117598072</v>
      </c>
      <c r="AP206" s="9">
        <v>3.465595449346259</v>
      </c>
      <c r="AQ206" s="9">
        <v>3.396225106154518</v>
      </c>
      <c r="AR206" s="9">
        <v>2.906828072555546</v>
      </c>
      <c r="AS206" s="9">
        <v>4.233737452946128</v>
      </c>
      <c r="AT206" s="9">
        <v>3.563551885121445</v>
      </c>
      <c r="AU206" s="9">
        <v>3.667966968759198</v>
      </c>
      <c r="AV206" s="9">
        <v>3.467202163597503</v>
      </c>
      <c r="AW206" s="9">
        <v>3.029803682341474</v>
      </c>
    </row>
    <row r="207" ht="15.0" customHeight="1">
      <c r="A207" s="5" t="s">
        <v>476</v>
      </c>
      <c r="B207" s="5" t="s">
        <v>477</v>
      </c>
      <c r="C207" s="5" t="s">
        <v>82</v>
      </c>
      <c r="D207" s="5" t="s">
        <v>56</v>
      </c>
      <c r="E207" s="5">
        <v>5.0</v>
      </c>
      <c r="F207" s="6">
        <v>0.2068965517</v>
      </c>
      <c r="G207" s="5">
        <v>69.0</v>
      </c>
      <c r="H207" s="5">
        <v>944.0</v>
      </c>
      <c r="I207" s="5" t="b">
        <v>0</v>
      </c>
      <c r="J207" s="5" t="b">
        <v>0</v>
      </c>
      <c r="K207" s="7">
        <v>33.294482757534</v>
      </c>
      <c r="L207" s="8">
        <v>0.0990180316483103</v>
      </c>
      <c r="M207" s="9">
        <f t="shared" si="1"/>
        <v>1.678084698</v>
      </c>
      <c r="N207" s="7">
        <f t="shared" si="2"/>
        <v>57.05487975</v>
      </c>
      <c r="O207" s="9">
        <f t="shared" si="3"/>
        <v>11.41097595</v>
      </c>
      <c r="P207" s="9">
        <v>1.543907013129866</v>
      </c>
      <c r="Q207" s="9">
        <v>1.819705412481281</v>
      </c>
      <c r="R207" s="9">
        <v>0.0</v>
      </c>
      <c r="S207" s="9">
        <v>1.690159122236187</v>
      </c>
      <c r="T207" s="9">
        <v>3.310077228153248</v>
      </c>
      <c r="U207" s="9">
        <v>1.559345562945434</v>
      </c>
      <c r="V207" s="9">
        <v>1.467800718818487</v>
      </c>
      <c r="W207" s="9">
        <v>1.865754249156732</v>
      </c>
      <c r="X207" s="9">
        <v>1.570454647939475</v>
      </c>
      <c r="Y207" s="9">
        <v>1.755613342288572</v>
      </c>
      <c r="Z207" s="9">
        <v>1.692540219822559</v>
      </c>
      <c r="AA207" s="9">
        <v>1.680204615217731</v>
      </c>
      <c r="AB207" s="9">
        <v>1.973313591418052</v>
      </c>
      <c r="AC207" s="9">
        <v>1.64937354141478</v>
      </c>
      <c r="AD207" s="9">
        <v>1.714149704149672</v>
      </c>
      <c r="AE207" s="9">
        <v>1.432279349044955</v>
      </c>
      <c r="AF207" s="9">
        <v>1.942854665353922</v>
      </c>
      <c r="AG207" s="9">
        <v>1.636661543706535</v>
      </c>
      <c r="AH207" s="9">
        <v>1.742297752748158</v>
      </c>
      <c r="AI207" s="9">
        <v>1.504734556930854</v>
      </c>
      <c r="AJ207" s="9">
        <v>1.602064431738465</v>
      </c>
      <c r="AK207" s="9">
        <v>1.762846498539975</v>
      </c>
      <c r="AL207" s="9">
        <v>1.414798971163273</v>
      </c>
      <c r="AM207" s="9">
        <v>2.024079370346342</v>
      </c>
      <c r="AN207" s="9">
        <v>1.522759004638184</v>
      </c>
      <c r="AO207" s="9">
        <v>1.593721071646797</v>
      </c>
      <c r="AP207" s="9">
        <v>1.923710178837134</v>
      </c>
      <c r="AQ207" s="9">
        <v>1.674243933719046</v>
      </c>
      <c r="AR207" s="9">
        <v>1.543171441549348</v>
      </c>
      <c r="AS207" s="9">
        <v>1.71747232799744</v>
      </c>
      <c r="AT207" s="9">
        <v>1.641000097615762</v>
      </c>
      <c r="AU207" s="9">
        <v>1.694588126103373</v>
      </c>
      <c r="AV207" s="9">
        <v>1.506523507656868</v>
      </c>
      <c r="AW207" s="9">
        <v>1.882673947738101</v>
      </c>
    </row>
    <row r="208" ht="15.0" customHeight="1">
      <c r="A208" s="5" t="s">
        <v>478</v>
      </c>
      <c r="B208" s="5" t="s">
        <v>479</v>
      </c>
      <c r="C208" s="5" t="s">
        <v>59</v>
      </c>
      <c r="D208" s="5" t="s">
        <v>103</v>
      </c>
      <c r="E208" s="5">
        <v>4.5</v>
      </c>
      <c r="F208" s="6"/>
      <c r="G208" s="5"/>
      <c r="H208" s="5">
        <v>1747.0</v>
      </c>
      <c r="I208" s="5" t="b">
        <v>0</v>
      </c>
      <c r="J208" s="5" t="b">
        <v>0</v>
      </c>
      <c r="K208" s="7">
        <v>0.0</v>
      </c>
      <c r="L208" s="8">
        <v>0.102379674101657</v>
      </c>
      <c r="M208" s="9">
        <f t="shared" si="1"/>
        <v>0</v>
      </c>
      <c r="N208" s="7">
        <f t="shared" si="2"/>
        <v>0</v>
      </c>
      <c r="O208" s="9">
        <f t="shared" si="3"/>
        <v>0</v>
      </c>
      <c r="P208" s="9">
        <v>0.0</v>
      </c>
      <c r="Q208" s="9">
        <v>0.0</v>
      </c>
      <c r="R208" s="9">
        <v>0.0</v>
      </c>
      <c r="S208" s="9">
        <v>0.0</v>
      </c>
      <c r="T208" s="9">
        <v>0.0</v>
      </c>
      <c r="U208" s="9">
        <v>0.0</v>
      </c>
      <c r="V208" s="9">
        <v>0.0</v>
      </c>
      <c r="W208" s="9">
        <v>0.0</v>
      </c>
      <c r="X208" s="9">
        <v>0.0</v>
      </c>
      <c r="Y208" s="9">
        <v>0.0</v>
      </c>
      <c r="Z208" s="9">
        <v>0.0</v>
      </c>
      <c r="AA208" s="9">
        <v>0.0</v>
      </c>
      <c r="AB208" s="9">
        <v>0.0</v>
      </c>
      <c r="AC208" s="9">
        <v>0.0</v>
      </c>
      <c r="AD208" s="9">
        <v>0.0</v>
      </c>
      <c r="AE208" s="9">
        <v>0.0</v>
      </c>
      <c r="AF208" s="9">
        <v>0.0</v>
      </c>
      <c r="AG208" s="9">
        <v>0.0</v>
      </c>
      <c r="AH208" s="9">
        <v>0.0</v>
      </c>
      <c r="AI208" s="9">
        <v>0.0</v>
      </c>
      <c r="AJ208" s="9">
        <v>0.0</v>
      </c>
      <c r="AK208" s="9">
        <v>0.0</v>
      </c>
      <c r="AL208" s="9">
        <v>0.0</v>
      </c>
      <c r="AM208" s="9">
        <v>0.0</v>
      </c>
      <c r="AN208" s="9">
        <v>0.0</v>
      </c>
      <c r="AO208" s="9">
        <v>0.0</v>
      </c>
      <c r="AP208" s="9">
        <v>0.0</v>
      </c>
      <c r="AQ208" s="9">
        <v>0.0</v>
      </c>
      <c r="AR208" s="9">
        <v>0.0</v>
      </c>
      <c r="AS208" s="9">
        <v>0.0</v>
      </c>
      <c r="AT208" s="9">
        <v>0.0</v>
      </c>
      <c r="AU208" s="9">
        <v>0.0</v>
      </c>
      <c r="AV208" s="9">
        <v>0.0</v>
      </c>
      <c r="AW208" s="9">
        <v>0.0</v>
      </c>
    </row>
    <row r="209" ht="15.0" customHeight="1">
      <c r="A209" s="5" t="s">
        <v>480</v>
      </c>
      <c r="B209" s="5" t="s">
        <v>481</v>
      </c>
      <c r="C209" s="5" t="s">
        <v>59</v>
      </c>
      <c r="D209" s="5" t="s">
        <v>103</v>
      </c>
      <c r="E209" s="5">
        <v>4.0</v>
      </c>
      <c r="F209" s="6"/>
      <c r="G209" s="10"/>
      <c r="H209" s="5">
        <v>1537.0</v>
      </c>
      <c r="I209" s="5" t="b">
        <v>0</v>
      </c>
      <c r="J209" s="5" t="b">
        <v>0</v>
      </c>
      <c r="K209" s="7">
        <v>0.0</v>
      </c>
      <c r="L209" s="8">
        <v>0.07325574683702256</v>
      </c>
      <c r="M209" s="9">
        <f t="shared" si="1"/>
        <v>0</v>
      </c>
      <c r="N209" s="7">
        <f t="shared" si="2"/>
        <v>0</v>
      </c>
      <c r="O209" s="9">
        <f t="shared" si="3"/>
        <v>0</v>
      </c>
      <c r="P209" s="9">
        <v>0.0</v>
      </c>
      <c r="Q209" s="9">
        <v>0.0</v>
      </c>
      <c r="R209" s="9">
        <v>0.0</v>
      </c>
      <c r="S209" s="9">
        <v>0.0</v>
      </c>
      <c r="T209" s="9">
        <v>0.0</v>
      </c>
      <c r="U209" s="9">
        <v>0.0</v>
      </c>
      <c r="V209" s="9">
        <v>0.0</v>
      </c>
      <c r="W209" s="9">
        <v>0.0</v>
      </c>
      <c r="X209" s="9">
        <v>0.0</v>
      </c>
      <c r="Y209" s="9">
        <v>0.0</v>
      </c>
      <c r="Z209" s="9">
        <v>0.0</v>
      </c>
      <c r="AA209" s="9">
        <v>0.0</v>
      </c>
      <c r="AB209" s="9">
        <v>0.0</v>
      </c>
      <c r="AC209" s="9">
        <v>0.0</v>
      </c>
      <c r="AD209" s="9">
        <v>0.0</v>
      </c>
      <c r="AE209" s="9">
        <v>0.0</v>
      </c>
      <c r="AF209" s="9">
        <v>0.0</v>
      </c>
      <c r="AG209" s="9">
        <v>0.0</v>
      </c>
      <c r="AH209" s="9">
        <v>0.0</v>
      </c>
      <c r="AI209" s="9">
        <v>0.0</v>
      </c>
      <c r="AJ209" s="9">
        <v>0.0</v>
      </c>
      <c r="AK209" s="9">
        <v>0.0</v>
      </c>
      <c r="AL209" s="9">
        <v>0.0</v>
      </c>
      <c r="AM209" s="9">
        <v>0.0</v>
      </c>
      <c r="AN209" s="9">
        <v>0.0</v>
      </c>
      <c r="AO209" s="9">
        <v>0.0</v>
      </c>
      <c r="AP209" s="9">
        <v>0.0</v>
      </c>
      <c r="AQ209" s="9">
        <v>0.0</v>
      </c>
      <c r="AR209" s="9">
        <v>0.0</v>
      </c>
      <c r="AS209" s="9">
        <v>0.0</v>
      </c>
      <c r="AT209" s="9">
        <v>0.0</v>
      </c>
      <c r="AU209" s="9">
        <v>0.0</v>
      </c>
      <c r="AV209" s="9">
        <v>0.0</v>
      </c>
      <c r="AW209" s="9">
        <v>0.0</v>
      </c>
    </row>
    <row r="210" ht="15.0" customHeight="1">
      <c r="A210" s="5" t="s">
        <v>482</v>
      </c>
      <c r="B210" s="5" t="s">
        <v>483</v>
      </c>
      <c r="C210" s="5" t="s">
        <v>59</v>
      </c>
      <c r="D210" s="5" t="s">
        <v>83</v>
      </c>
      <c r="E210" s="5">
        <v>5.5</v>
      </c>
      <c r="F210" s="6"/>
      <c r="G210" s="5"/>
      <c r="H210" s="5">
        <v>2833.0</v>
      </c>
      <c r="I210" s="5" t="b">
        <v>1</v>
      </c>
      <c r="J210" s="5" t="b">
        <v>0</v>
      </c>
      <c r="K210" s="7">
        <v>80.76</v>
      </c>
      <c r="L210" s="8">
        <v>0.0689342678488815</v>
      </c>
      <c r="M210" s="9">
        <f t="shared" si="1"/>
        <v>3.245622958</v>
      </c>
      <c r="N210" s="7">
        <f t="shared" si="2"/>
        <v>110.3511806</v>
      </c>
      <c r="O210" s="9">
        <f t="shared" si="3"/>
        <v>20.06385101</v>
      </c>
      <c r="P210" s="9">
        <v>3.247005419820311</v>
      </c>
      <c r="Q210" s="9">
        <v>3.224961412980597</v>
      </c>
      <c r="R210" s="9">
        <v>0.0</v>
      </c>
      <c r="S210" s="9">
        <v>2.978904188845183</v>
      </c>
      <c r="T210" s="9">
        <v>2.863551963639527</v>
      </c>
      <c r="U210" s="9">
        <v>7.221663178325969</v>
      </c>
      <c r="V210" s="9">
        <v>3.653949887958188</v>
      </c>
      <c r="W210" s="9">
        <v>3.158288191297097</v>
      </c>
      <c r="X210" s="9">
        <v>2.777388303132281</v>
      </c>
      <c r="Y210" s="9">
        <v>3.161890983678819</v>
      </c>
      <c r="Z210" s="9">
        <v>3.198742609364801</v>
      </c>
      <c r="AA210" s="9">
        <v>2.743389827309986</v>
      </c>
      <c r="AB210" s="9">
        <v>3.938009520770791</v>
      </c>
      <c r="AC210" s="9">
        <v>2.663049977242932</v>
      </c>
      <c r="AD210" s="9">
        <v>3.36514183364788</v>
      </c>
      <c r="AE210" s="9">
        <v>3.949976446916331</v>
      </c>
      <c r="AF210" s="9">
        <v>3.223963219037804</v>
      </c>
      <c r="AG210" s="9">
        <v>3.488341515154668</v>
      </c>
      <c r="AH210" s="9">
        <v>3.176259732259501</v>
      </c>
      <c r="AI210" s="9">
        <v>3.41364903778241</v>
      </c>
      <c r="AJ210" s="9">
        <v>2.81772544655782</v>
      </c>
      <c r="AK210" s="9">
        <v>3.198696296203742</v>
      </c>
      <c r="AL210" s="9">
        <v>3.682856740554097</v>
      </c>
      <c r="AM210" s="9">
        <v>3.0343425441036</v>
      </c>
      <c r="AN210" s="9">
        <v>3.473523364383563</v>
      </c>
      <c r="AO210" s="9">
        <v>3.706506676973296</v>
      </c>
      <c r="AP210" s="9">
        <v>2.762404936486787</v>
      </c>
      <c r="AQ210" s="9">
        <v>3.133925507074467</v>
      </c>
      <c r="AR210" s="9">
        <v>2.938613363392213</v>
      </c>
      <c r="AS210" s="9">
        <v>2.532464740375933</v>
      </c>
      <c r="AT210" s="9">
        <v>3.72725085875483</v>
      </c>
      <c r="AU210" s="9">
        <v>2.796510832357412</v>
      </c>
      <c r="AV210" s="9">
        <v>3.613672273838622</v>
      </c>
      <c r="AW210" s="9">
        <v>3.484559739699586</v>
      </c>
    </row>
    <row r="211" ht="15.0" customHeight="1">
      <c r="A211" s="5" t="s">
        <v>484</v>
      </c>
      <c r="B211" s="5" t="s">
        <v>485</v>
      </c>
      <c r="C211" s="5" t="s">
        <v>59</v>
      </c>
      <c r="D211" s="5" t="s">
        <v>83</v>
      </c>
      <c r="E211" s="5">
        <v>4.0</v>
      </c>
      <c r="F211" s="6"/>
      <c r="G211" s="5"/>
      <c r="H211" s="5">
        <v>2376.0</v>
      </c>
      <c r="I211" s="5" t="b">
        <v>0</v>
      </c>
      <c r="J211" s="5" t="b">
        <v>0</v>
      </c>
      <c r="K211" s="7">
        <v>16.24</v>
      </c>
      <c r="L211" s="8">
        <v>0.08524398292664855</v>
      </c>
      <c r="M211" s="9">
        <f t="shared" si="1"/>
        <v>1.104956876</v>
      </c>
      <c r="N211" s="7">
        <f t="shared" si="2"/>
        <v>37.56853379</v>
      </c>
      <c r="O211" s="9">
        <f t="shared" si="3"/>
        <v>9.392133448</v>
      </c>
      <c r="P211" s="9">
        <v>1.106383073603344</v>
      </c>
      <c r="Q211" s="9">
        <v>1.108888573122367</v>
      </c>
      <c r="R211" s="9">
        <v>0.0</v>
      </c>
      <c r="S211" s="9">
        <v>1.105557012864523</v>
      </c>
      <c r="T211" s="9">
        <v>1.099549698809763</v>
      </c>
      <c r="U211" s="9">
        <v>2.2231535789936</v>
      </c>
      <c r="V211" s="9">
        <v>1.115505280661962</v>
      </c>
      <c r="W211" s="9">
        <v>1.107753899538645</v>
      </c>
      <c r="X211" s="9">
        <v>1.095631270712168</v>
      </c>
      <c r="Y211" s="9">
        <v>1.100010407720731</v>
      </c>
      <c r="Z211" s="9">
        <v>1.102160381835121</v>
      </c>
      <c r="AA211" s="9">
        <v>1.088537980834744</v>
      </c>
      <c r="AB211" s="9">
        <v>1.114570998092148</v>
      </c>
      <c r="AC211" s="9">
        <v>1.089669865606337</v>
      </c>
      <c r="AD211" s="9">
        <v>1.105006356755555</v>
      </c>
      <c r="AE211" s="9">
        <v>1.117333158118172</v>
      </c>
      <c r="AF211" s="9">
        <v>1.108489168146095</v>
      </c>
      <c r="AG211" s="9">
        <v>1.10511943933404</v>
      </c>
      <c r="AH211" s="9">
        <v>1.106199602867616</v>
      </c>
      <c r="AI211" s="9">
        <v>1.11941078880933</v>
      </c>
      <c r="AJ211" s="9">
        <v>1.097651530325632</v>
      </c>
      <c r="AK211" s="9">
        <v>1.102622751927184</v>
      </c>
      <c r="AL211" s="9">
        <v>1.123313494323962</v>
      </c>
      <c r="AM211" s="9">
        <v>1.098264958775707</v>
      </c>
      <c r="AN211" s="9">
        <v>1.101920812833576</v>
      </c>
      <c r="AO211" s="9">
        <v>1.12051027757825</v>
      </c>
      <c r="AP211" s="9">
        <v>1.096799034760979</v>
      </c>
      <c r="AQ211" s="9">
        <v>1.096758417506291</v>
      </c>
      <c r="AR211" s="9">
        <v>1.094734768817116</v>
      </c>
      <c r="AS211" s="9">
        <v>1.090635108118789</v>
      </c>
      <c r="AT211" s="9">
        <v>1.117771245109395</v>
      </c>
      <c r="AU211" s="9">
        <v>1.092596549481099</v>
      </c>
      <c r="AV211" s="9">
        <v>1.112028244433792</v>
      </c>
      <c r="AW211" s="9">
        <v>1.10399606090917</v>
      </c>
    </row>
    <row r="212" ht="15.0" customHeight="1">
      <c r="A212" s="5" t="s">
        <v>486</v>
      </c>
      <c r="B212" s="5" t="s">
        <v>487</v>
      </c>
      <c r="C212" s="5" t="s">
        <v>59</v>
      </c>
      <c r="D212" s="5" t="s">
        <v>83</v>
      </c>
      <c r="E212" s="5">
        <v>6.5</v>
      </c>
      <c r="F212" s="6"/>
      <c r="G212" s="5"/>
      <c r="H212" s="5">
        <v>1728.0</v>
      </c>
      <c r="I212" s="5" t="b">
        <v>1</v>
      </c>
      <c r="J212" s="5" t="b">
        <v>0</v>
      </c>
      <c r="K212" s="7">
        <v>80.76</v>
      </c>
      <c r="L212" s="8">
        <v>0.07746219760468805</v>
      </c>
      <c r="M212" s="9">
        <f t="shared" si="1"/>
        <v>3.596363488</v>
      </c>
      <c r="N212" s="7">
        <f t="shared" si="2"/>
        <v>122.2763586</v>
      </c>
      <c r="O212" s="9">
        <f t="shared" si="3"/>
        <v>18.81174747</v>
      </c>
      <c r="P212" s="9">
        <v>3.611327087514873</v>
      </c>
      <c r="Q212" s="9">
        <v>3.612946762140365</v>
      </c>
      <c r="R212" s="9">
        <v>0.0</v>
      </c>
      <c r="S212" s="9">
        <v>3.333227076267836</v>
      </c>
      <c r="T212" s="9">
        <v>3.159795651994198</v>
      </c>
      <c r="U212" s="9">
        <v>8.054946957965177</v>
      </c>
      <c r="V212" s="9">
        <v>4.108314928939251</v>
      </c>
      <c r="W212" s="9">
        <v>3.534945330861117</v>
      </c>
      <c r="X212" s="9">
        <v>3.035661174514099</v>
      </c>
      <c r="Y212" s="9">
        <v>3.46489840677886</v>
      </c>
      <c r="Z212" s="9">
        <v>3.522500797251472</v>
      </c>
      <c r="AA212" s="9">
        <v>2.933899599104248</v>
      </c>
      <c r="AB212" s="9">
        <v>4.385751187843988</v>
      </c>
      <c r="AC212" s="9">
        <v>2.863688556938659</v>
      </c>
      <c r="AD212" s="9">
        <v>3.717306683593192</v>
      </c>
      <c r="AE212" s="9">
        <v>4.424095229839305</v>
      </c>
      <c r="AF212" s="9">
        <v>3.608140310909574</v>
      </c>
      <c r="AG212" s="9">
        <v>3.842565217050436</v>
      </c>
      <c r="AH212" s="9">
        <v>3.538271289149984</v>
      </c>
      <c r="AI212" s="9">
        <v>3.903257438487799</v>
      </c>
      <c r="AJ212" s="9">
        <v>3.095542671113045</v>
      </c>
      <c r="AK212" s="9">
        <v>3.52685351436943</v>
      </c>
      <c r="AL212" s="9">
        <v>4.211746680215228</v>
      </c>
      <c r="AM212" s="9">
        <v>3.319724637385307</v>
      </c>
      <c r="AN212" s="9">
        <v>3.797194273696924</v>
      </c>
      <c r="AO212" s="9">
        <v>4.208913001086326</v>
      </c>
      <c r="AP212" s="9">
        <v>3.031669415406895</v>
      </c>
      <c r="AQ212" s="9">
        <v>3.405767498792916</v>
      </c>
      <c r="AR212" s="9">
        <v>3.189642368743757</v>
      </c>
      <c r="AS212" s="9">
        <v>2.74124568910916</v>
      </c>
      <c r="AT212" s="9">
        <v>4.203761091507746</v>
      </c>
      <c r="AU212" s="9">
        <v>3.026061229342829</v>
      </c>
      <c r="AV212" s="9">
        <v>4.034632369849895</v>
      </c>
      <c r="AW212" s="9">
        <v>3.828064450494484</v>
      </c>
    </row>
    <row r="213" ht="15.0" customHeight="1">
      <c r="A213" s="5" t="s">
        <v>488</v>
      </c>
      <c r="B213" s="5" t="s">
        <v>185</v>
      </c>
      <c r="C213" s="5" t="s">
        <v>59</v>
      </c>
      <c r="D213" s="5" t="s">
        <v>52</v>
      </c>
      <c r="E213" s="5">
        <v>7.0</v>
      </c>
      <c r="F213" s="6">
        <v>0.2068965517</v>
      </c>
      <c r="G213" s="10">
        <v>67.0</v>
      </c>
      <c r="H213" s="5">
        <v>721.0</v>
      </c>
      <c r="I213" s="5" t="b">
        <v>0</v>
      </c>
      <c r="J213" s="5" t="b">
        <v>0</v>
      </c>
      <c r="K213" s="7">
        <v>32.063793102385</v>
      </c>
      <c r="L213" s="8">
        <v>0.06927314956788572</v>
      </c>
      <c r="M213" s="9">
        <f t="shared" si="1"/>
        <v>1.344962535</v>
      </c>
      <c r="N213" s="7">
        <f t="shared" si="2"/>
        <v>45.72872619</v>
      </c>
      <c r="O213" s="9">
        <f t="shared" si="3"/>
        <v>6.53267517</v>
      </c>
      <c r="P213" s="9">
        <v>1.359365995614494</v>
      </c>
      <c r="Q213" s="9">
        <v>1.384669550222824</v>
      </c>
      <c r="R213" s="9">
        <v>0.0</v>
      </c>
      <c r="S213" s="9">
        <v>1.351023438429447</v>
      </c>
      <c r="T213" s="9">
        <v>1.290354339082227</v>
      </c>
      <c r="U213" s="9">
        <v>2.823636799816988</v>
      </c>
      <c r="V213" s="9">
        <v>1.451493039624561</v>
      </c>
      <c r="W213" s="9">
        <v>1.373210248486641</v>
      </c>
      <c r="X213" s="9">
        <v>1.250781328353817</v>
      </c>
      <c r="Y213" s="9">
        <v>1.295007133065503</v>
      </c>
      <c r="Z213" s="9">
        <v>1.316720163539842</v>
      </c>
      <c r="AA213" s="9">
        <v>1.179144735968401</v>
      </c>
      <c r="AB213" s="9">
        <v>1.44205752792504</v>
      </c>
      <c r="AC213" s="9">
        <v>1.190575872917696</v>
      </c>
      <c r="AD213" s="9">
        <v>1.345462249206336</v>
      </c>
      <c r="AE213" s="9">
        <v>1.469953149746072</v>
      </c>
      <c r="AF213" s="9">
        <v>1.380635877276089</v>
      </c>
      <c r="AG213" s="9">
        <v>1.346604293408792</v>
      </c>
      <c r="AH213" s="9">
        <v>1.357513086944877</v>
      </c>
      <c r="AI213" s="9">
        <v>1.490935569120134</v>
      </c>
      <c r="AJ213" s="9">
        <v>1.271184345422537</v>
      </c>
      <c r="AK213" s="9">
        <v>1.321389734132424</v>
      </c>
      <c r="AL213" s="9">
        <v>1.530349794251677</v>
      </c>
      <c r="AM213" s="9">
        <v>1.277379485420343</v>
      </c>
      <c r="AN213" s="9">
        <v>1.314300706953624</v>
      </c>
      <c r="AO213" s="9">
        <v>1.502039532179951</v>
      </c>
      <c r="AP213" s="9">
        <v>1.262574817498155</v>
      </c>
      <c r="AQ213" s="9">
        <v>1.262164615494825</v>
      </c>
      <c r="AR213" s="9">
        <v>1.241727371453933</v>
      </c>
      <c r="AS213" s="9">
        <v>1.200324055441248</v>
      </c>
      <c r="AT213" s="9">
        <v>1.474377480312266</v>
      </c>
      <c r="AU213" s="9">
        <v>1.220133054902398</v>
      </c>
      <c r="AV213" s="9">
        <v>1.416377736106585</v>
      </c>
      <c r="AW213" s="9">
        <v>1.335259063803402</v>
      </c>
    </row>
    <row r="214" ht="15.0" customHeight="1">
      <c r="A214" s="5" t="s">
        <v>489</v>
      </c>
      <c r="B214" s="5" t="s">
        <v>490</v>
      </c>
      <c r="C214" s="5" t="s">
        <v>59</v>
      </c>
      <c r="D214" s="5" t="s">
        <v>52</v>
      </c>
      <c r="E214" s="5">
        <v>8.0</v>
      </c>
      <c r="F214" s="6">
        <v>0.0</v>
      </c>
      <c r="G214" s="5"/>
      <c r="H214" s="5">
        <v>130.0</v>
      </c>
      <c r="I214" s="5" t="b">
        <v>0</v>
      </c>
      <c r="J214" s="5" t="b">
        <v>0</v>
      </c>
      <c r="K214" s="7">
        <v>0.0</v>
      </c>
      <c r="L214" s="8">
        <v>0.08586048246215958</v>
      </c>
      <c r="M214" s="9">
        <f t="shared" si="1"/>
        <v>0</v>
      </c>
      <c r="N214" s="7">
        <f t="shared" si="2"/>
        <v>0</v>
      </c>
      <c r="O214" s="9">
        <f t="shared" si="3"/>
        <v>0</v>
      </c>
      <c r="P214" s="9">
        <v>0.0</v>
      </c>
      <c r="Q214" s="9">
        <v>0.0</v>
      </c>
      <c r="R214" s="9">
        <v>0.0</v>
      </c>
      <c r="S214" s="9">
        <v>0.0</v>
      </c>
      <c r="T214" s="9">
        <v>0.0</v>
      </c>
      <c r="U214" s="9">
        <v>0.0</v>
      </c>
      <c r="V214" s="9">
        <v>0.0</v>
      </c>
      <c r="W214" s="9">
        <v>0.0</v>
      </c>
      <c r="X214" s="9">
        <v>0.0</v>
      </c>
      <c r="Y214" s="9">
        <v>0.0</v>
      </c>
      <c r="Z214" s="9">
        <v>0.0</v>
      </c>
      <c r="AA214" s="9">
        <v>0.0</v>
      </c>
      <c r="AB214" s="9">
        <v>0.0</v>
      </c>
      <c r="AC214" s="9">
        <v>0.0</v>
      </c>
      <c r="AD214" s="9">
        <v>0.0</v>
      </c>
      <c r="AE214" s="9">
        <v>0.0</v>
      </c>
      <c r="AF214" s="9">
        <v>0.0</v>
      </c>
      <c r="AG214" s="9">
        <v>0.0</v>
      </c>
      <c r="AH214" s="9">
        <v>0.0</v>
      </c>
      <c r="AI214" s="9">
        <v>0.0</v>
      </c>
      <c r="AJ214" s="9">
        <v>0.0</v>
      </c>
      <c r="AK214" s="9">
        <v>0.0</v>
      </c>
      <c r="AL214" s="9">
        <v>0.0</v>
      </c>
      <c r="AM214" s="9">
        <v>0.0</v>
      </c>
      <c r="AN214" s="9">
        <v>0.0</v>
      </c>
      <c r="AO214" s="9">
        <v>0.0</v>
      </c>
      <c r="AP214" s="9">
        <v>0.0</v>
      </c>
      <c r="AQ214" s="9">
        <v>0.0</v>
      </c>
      <c r="AR214" s="9">
        <v>0.0</v>
      </c>
      <c r="AS214" s="9">
        <v>0.0</v>
      </c>
      <c r="AT214" s="9">
        <v>0.0</v>
      </c>
      <c r="AU214" s="9">
        <v>0.0</v>
      </c>
      <c r="AV214" s="9">
        <v>0.0</v>
      </c>
      <c r="AW214" s="9">
        <v>0.0</v>
      </c>
    </row>
    <row r="215" ht="15.0" customHeight="1">
      <c r="A215" s="5" t="s">
        <v>491</v>
      </c>
      <c r="B215" s="5" t="s">
        <v>492</v>
      </c>
      <c r="C215" s="5" t="s">
        <v>59</v>
      </c>
      <c r="D215" s="5" t="s">
        <v>52</v>
      </c>
      <c r="E215" s="5">
        <v>4.5</v>
      </c>
      <c r="F215" s="6"/>
      <c r="G215" s="5"/>
      <c r="H215" s="5">
        <v>841.0</v>
      </c>
      <c r="I215" s="5" t="b">
        <v>0</v>
      </c>
      <c r="J215" s="5" t="b">
        <v>0</v>
      </c>
      <c r="K215" s="7">
        <v>22.95</v>
      </c>
      <c r="L215" s="8">
        <v>0.0311914603405606</v>
      </c>
      <c r="M215" s="9">
        <f t="shared" si="1"/>
        <v>1.39834437</v>
      </c>
      <c r="N215" s="7">
        <f t="shared" si="2"/>
        <v>47.54370859</v>
      </c>
      <c r="O215" s="9">
        <f t="shared" si="3"/>
        <v>10.56526858</v>
      </c>
      <c r="P215" s="9">
        <v>1.411037299212005</v>
      </c>
      <c r="Q215" s="9">
        <v>1.433335844595768</v>
      </c>
      <c r="R215" s="9">
        <v>0.0</v>
      </c>
      <c r="S215" s="9">
        <v>1.403685490626734</v>
      </c>
      <c r="T215" s="9">
        <v>1.350221355404378</v>
      </c>
      <c r="U215" s="9">
        <v>2.914521081595367</v>
      </c>
      <c r="V215" s="9">
        <v>1.492223484462599</v>
      </c>
      <c r="W215" s="9">
        <v>1.423237431001878</v>
      </c>
      <c r="X215" s="9">
        <v>1.315347971432899</v>
      </c>
      <c r="Y215" s="9">
        <v>1.354321591098664</v>
      </c>
      <c r="Z215" s="9">
        <v>1.37345601718802</v>
      </c>
      <c r="AA215" s="9">
        <v>1.252218824909017</v>
      </c>
      <c r="AB215" s="9">
        <v>1.483908518873475</v>
      </c>
      <c r="AC215" s="9">
        <v>1.262292418520562</v>
      </c>
      <c r="AD215" s="9">
        <v>1.398784739242246</v>
      </c>
      <c r="AE215" s="9">
        <v>1.508491301759632</v>
      </c>
      <c r="AF215" s="9">
        <v>1.429781204124962</v>
      </c>
      <c r="AG215" s="9">
        <v>1.399791156122124</v>
      </c>
      <c r="AH215" s="9">
        <v>1.409404438979482</v>
      </c>
      <c r="AI215" s="9">
        <v>1.52698188294144</v>
      </c>
      <c r="AJ215" s="9">
        <v>1.333327959190144</v>
      </c>
      <c r="AK215" s="9">
        <v>1.377571037128621</v>
      </c>
      <c r="AL215" s="9">
        <v>1.56171533843675</v>
      </c>
      <c r="AM215" s="9">
        <v>1.338787374380544</v>
      </c>
      <c r="AN215" s="9">
        <v>1.371323891353254</v>
      </c>
      <c r="AO215" s="9">
        <v>1.536767157305519</v>
      </c>
      <c r="AP215" s="9">
        <v>1.325740884878797</v>
      </c>
      <c r="AQ215" s="9">
        <v>1.325379397802007</v>
      </c>
      <c r="AR215" s="9">
        <v>1.307369247812454</v>
      </c>
      <c r="AS215" s="9">
        <v>1.270882922652304</v>
      </c>
      <c r="AT215" s="9">
        <v>1.512390205982778</v>
      </c>
      <c r="AU215" s="9">
        <v>1.288339437372414</v>
      </c>
      <c r="AV215" s="9">
        <v>1.461278417602214</v>
      </c>
      <c r="AW215" s="9">
        <v>1.389793267637249</v>
      </c>
    </row>
    <row r="216" ht="15.0" customHeight="1">
      <c r="A216" s="5" t="s">
        <v>493</v>
      </c>
      <c r="B216" s="5" t="s">
        <v>494</v>
      </c>
      <c r="C216" s="5" t="s">
        <v>59</v>
      </c>
      <c r="D216" s="5" t="s">
        <v>52</v>
      </c>
      <c r="E216" s="5">
        <v>4.5</v>
      </c>
      <c r="F216" s="6"/>
      <c r="G216" s="5"/>
      <c r="H216" s="5">
        <v>1563.0</v>
      </c>
      <c r="I216" s="5" t="b">
        <v>0</v>
      </c>
      <c r="J216" s="5" t="b">
        <v>0</v>
      </c>
      <c r="K216" s="7">
        <v>22.95</v>
      </c>
      <c r="L216" s="8">
        <v>0.02396230120183238</v>
      </c>
      <c r="M216" s="9">
        <f t="shared" si="1"/>
        <v>1.174006171</v>
      </c>
      <c r="N216" s="7">
        <f t="shared" si="2"/>
        <v>39.91620983</v>
      </c>
      <c r="O216" s="9">
        <f t="shared" si="3"/>
        <v>8.87026885</v>
      </c>
      <c r="P216" s="9">
        <v>1.181269561832568</v>
      </c>
      <c r="Q216" s="9">
        <v>1.194029661880823</v>
      </c>
      <c r="R216" s="9">
        <v>0.0</v>
      </c>
      <c r="S216" s="9">
        <v>1.177062569337354</v>
      </c>
      <c r="T216" s="9">
        <v>1.146468299500925</v>
      </c>
      <c r="U216" s="9">
        <v>2.415440618093325</v>
      </c>
      <c r="V216" s="9">
        <v>1.227727473257055</v>
      </c>
      <c r="W216" s="9">
        <v>1.188250954545029</v>
      </c>
      <c r="X216" s="9">
        <v>1.126512384850935</v>
      </c>
      <c r="Y216" s="9">
        <v>1.148814614777554</v>
      </c>
      <c r="Z216" s="9">
        <v>1.159764081976607</v>
      </c>
      <c r="AA216" s="9">
        <v>1.090387417426277</v>
      </c>
      <c r="AB216" s="9">
        <v>1.222969324642918</v>
      </c>
      <c r="AC216" s="9">
        <v>1.096151921797148</v>
      </c>
      <c r="AD216" s="9">
        <v>1.174258167664444</v>
      </c>
      <c r="AE216" s="9">
        <v>1.237036554755619</v>
      </c>
      <c r="AF216" s="9">
        <v>1.191995557536237</v>
      </c>
      <c r="AG216" s="9">
        <v>1.174834078776872</v>
      </c>
      <c r="AH216" s="9">
        <v>1.180335175325591</v>
      </c>
      <c r="AI216" s="9">
        <v>1.247617588709612</v>
      </c>
      <c r="AJ216" s="9">
        <v>1.136801237271592</v>
      </c>
      <c r="AK216" s="9">
        <v>1.162118857377377</v>
      </c>
      <c r="AL216" s="9">
        <v>1.267493430811156</v>
      </c>
      <c r="AM216" s="9">
        <v>1.13992532823069</v>
      </c>
      <c r="AN216" s="9">
        <v>1.1585439961594</v>
      </c>
      <c r="AO216" s="9">
        <v>1.253217105527252</v>
      </c>
      <c r="AP216" s="9">
        <v>1.132459616523683</v>
      </c>
      <c r="AQ216" s="9">
        <v>1.132252759475987</v>
      </c>
      <c r="AR216" s="9">
        <v>1.121946647045976</v>
      </c>
      <c r="AS216" s="9">
        <v>1.101067744345188</v>
      </c>
      <c r="AT216" s="9">
        <v>1.239267660287827</v>
      </c>
      <c r="AU216" s="9">
        <v>1.111057045014308</v>
      </c>
      <c r="AV216" s="9">
        <v>1.21001949534447</v>
      </c>
      <c r="AW216" s="9">
        <v>1.169112895841272</v>
      </c>
    </row>
    <row r="217" ht="15.0" customHeight="1">
      <c r="A217" s="5" t="s">
        <v>495</v>
      </c>
      <c r="B217" s="5" t="s">
        <v>496</v>
      </c>
      <c r="C217" s="5" t="s">
        <v>59</v>
      </c>
      <c r="D217" s="5" t="s">
        <v>52</v>
      </c>
      <c r="E217" s="5">
        <v>5.0</v>
      </c>
      <c r="F217" s="6"/>
      <c r="G217" s="5"/>
      <c r="H217" s="5">
        <v>153.0</v>
      </c>
      <c r="I217" s="5" t="b">
        <v>0</v>
      </c>
      <c r="J217" s="5" t="b">
        <v>0</v>
      </c>
      <c r="K217" s="7">
        <v>22.95</v>
      </c>
      <c r="L217" s="8">
        <v>0.06841034563227</v>
      </c>
      <c r="M217" s="9">
        <f t="shared" si="1"/>
        <v>1.834444227</v>
      </c>
      <c r="N217" s="7">
        <f t="shared" si="2"/>
        <v>62.37110373</v>
      </c>
      <c r="O217" s="9">
        <f t="shared" si="3"/>
        <v>12.47422075</v>
      </c>
      <c r="P217" s="9">
        <v>1.860926963313254</v>
      </c>
      <c r="Q217" s="9">
        <v>1.907451015857463</v>
      </c>
      <c r="R217" s="9">
        <v>0.0</v>
      </c>
      <c r="S217" s="9">
        <v>1.845588028731217</v>
      </c>
      <c r="T217" s="9">
        <v>1.73403957597309</v>
      </c>
      <c r="U217" s="9">
        <v>3.914735792531689</v>
      </c>
      <c r="V217" s="9">
        <v>2.03031515807922</v>
      </c>
      <c r="W217" s="9">
        <v>1.88638151932441</v>
      </c>
      <c r="X217" s="9">
        <v>1.661279172979947</v>
      </c>
      <c r="Y217" s="9">
        <v>1.742594375293027</v>
      </c>
      <c r="Z217" s="9">
        <v>1.782516757200177</v>
      </c>
      <c r="AA217" s="9">
        <v>1.529565481373549</v>
      </c>
      <c r="AB217" s="9">
        <v>2.012966676852574</v>
      </c>
      <c r="AC217" s="9">
        <v>1.550583193086431</v>
      </c>
      <c r="AD217" s="9">
        <v>1.835363020283623</v>
      </c>
      <c r="AE217" s="9">
        <v>2.064256600163501</v>
      </c>
      <c r="AF217" s="9">
        <v>1.900034555402604</v>
      </c>
      <c r="AG217" s="9">
        <v>1.837462825046444</v>
      </c>
      <c r="AH217" s="9">
        <v>1.857520136816375</v>
      </c>
      <c r="AI217" s="9">
        <v>2.102835653445688</v>
      </c>
      <c r="AJ217" s="9">
        <v>1.698792915727104</v>
      </c>
      <c r="AK217" s="9">
        <v>1.791102402615254</v>
      </c>
      <c r="AL217" s="9">
        <v>2.175304107360285</v>
      </c>
      <c r="AM217" s="9">
        <v>1.710183529545518</v>
      </c>
      <c r="AN217" s="9">
        <v>1.77806825472343</v>
      </c>
      <c r="AO217" s="9">
        <v>2.123251811129471</v>
      </c>
      <c r="AP217" s="9">
        <v>1.682963118857262</v>
      </c>
      <c r="AQ217" s="9">
        <v>1.682208906263338</v>
      </c>
      <c r="AR217" s="9">
        <v>1.644632232537651</v>
      </c>
      <c r="AS217" s="9">
        <v>1.568506562468967</v>
      </c>
      <c r="AT217" s="9">
        <v>2.072391338184332</v>
      </c>
      <c r="AU217" s="9">
        <v>1.604928122445185</v>
      </c>
      <c r="AV217" s="9">
        <v>1.965750860641011</v>
      </c>
      <c r="AW217" s="9">
        <v>1.816603065757385</v>
      </c>
    </row>
    <row r="218" ht="15.0" customHeight="1">
      <c r="A218" s="5" t="s">
        <v>497</v>
      </c>
      <c r="B218" s="5" t="s">
        <v>498</v>
      </c>
      <c r="C218" s="5" t="s">
        <v>59</v>
      </c>
      <c r="D218" s="5" t="s">
        <v>52</v>
      </c>
      <c r="E218" s="5">
        <v>5.0</v>
      </c>
      <c r="F218" s="6"/>
      <c r="G218" s="5"/>
      <c r="H218" s="5">
        <v>555.0</v>
      </c>
      <c r="I218" s="5" t="b">
        <v>0</v>
      </c>
      <c r="J218" s="5" t="b">
        <v>0</v>
      </c>
      <c r="K218" s="7">
        <v>22.95</v>
      </c>
      <c r="L218" s="8">
        <v>0.06514021825865404</v>
      </c>
      <c r="M218" s="9">
        <f t="shared" si="1"/>
        <v>1.250084843</v>
      </c>
      <c r="N218" s="7">
        <f t="shared" si="2"/>
        <v>42.50288466</v>
      </c>
      <c r="O218" s="9">
        <f t="shared" si="3"/>
        <v>8.500576933</v>
      </c>
      <c r="P218" s="9">
        <v>1.257980993781398</v>
      </c>
      <c r="Q218" s="9">
        <v>1.271852707533788</v>
      </c>
      <c r="R218" s="9">
        <v>0.0</v>
      </c>
      <c r="S218" s="9">
        <v>1.253407503336075</v>
      </c>
      <c r="T218" s="9">
        <v>1.220147971511923</v>
      </c>
      <c r="U218" s="9">
        <v>2.573472068597138</v>
      </c>
      <c r="V218" s="9">
        <v>1.308486150196882</v>
      </c>
      <c r="W218" s="9">
        <v>1.265570580143106</v>
      </c>
      <c r="X218" s="9">
        <v>1.198453569850109</v>
      </c>
      <c r="Y218" s="9">
        <v>1.222698689278019</v>
      </c>
      <c r="Z218" s="9">
        <v>1.234602034404785</v>
      </c>
      <c r="AA218" s="9">
        <v>1.159181526093855</v>
      </c>
      <c r="AB218" s="9">
        <v>1.303313488907626</v>
      </c>
      <c r="AC218" s="9">
        <v>1.165448213208747</v>
      </c>
      <c r="AD218" s="9">
        <v>1.250358792345862</v>
      </c>
      <c r="AE218" s="9">
        <v>1.318606205161764</v>
      </c>
      <c r="AF218" s="9">
        <v>1.269641399385428</v>
      </c>
      <c r="AG218" s="9">
        <v>1.250984874748681</v>
      </c>
      <c r="AH218" s="9">
        <v>1.256965206905914</v>
      </c>
      <c r="AI218" s="9">
        <v>1.330109020473481</v>
      </c>
      <c r="AJ218" s="9">
        <v>1.209638749831472</v>
      </c>
      <c r="AK218" s="9">
        <v>1.237161949310399</v>
      </c>
      <c r="AL218" s="9">
        <v>1.35171637395642</v>
      </c>
      <c r="AM218" s="9">
        <v>1.213035000280697</v>
      </c>
      <c r="AN218" s="9">
        <v>1.233275659129854</v>
      </c>
      <c r="AO218" s="9">
        <v>1.336196346917023</v>
      </c>
      <c r="AP218" s="9">
        <v>1.20491890280765</v>
      </c>
      <c r="AQ218" s="9">
        <v>1.204694025123114</v>
      </c>
      <c r="AR218" s="9">
        <v>1.19349008150289</v>
      </c>
      <c r="AS218" s="9">
        <v>1.170792284413993</v>
      </c>
      <c r="AT218" s="9">
        <v>1.321031676527751</v>
      </c>
      <c r="AU218" s="9">
        <v>1.181651816780084</v>
      </c>
      <c r="AV218" s="9">
        <v>1.289235517379891</v>
      </c>
      <c r="AW218" s="9">
        <v>1.244765283075608</v>
      </c>
    </row>
    <row r="219" ht="15.0" customHeight="1">
      <c r="A219" s="5" t="s">
        <v>499</v>
      </c>
      <c r="B219" s="5" t="s">
        <v>500</v>
      </c>
      <c r="C219" s="5" t="s">
        <v>59</v>
      </c>
      <c r="D219" s="5" t="s">
        <v>56</v>
      </c>
      <c r="E219" s="5">
        <v>5.0</v>
      </c>
      <c r="F219" s="6">
        <v>0.1</v>
      </c>
      <c r="G219" s="5">
        <v>57.0</v>
      </c>
      <c r="H219" s="5">
        <v>1266.0</v>
      </c>
      <c r="I219" s="5" t="b">
        <v>0</v>
      </c>
      <c r="J219" s="5" t="b">
        <v>0</v>
      </c>
      <c r="K219" s="7">
        <v>27.282</v>
      </c>
      <c r="L219" s="8">
        <v>0.06032970484509442</v>
      </c>
      <c r="M219" s="9">
        <f t="shared" si="1"/>
        <v>1.279295271</v>
      </c>
      <c r="N219" s="7">
        <f t="shared" si="2"/>
        <v>43.4960392</v>
      </c>
      <c r="O219" s="9">
        <f t="shared" si="3"/>
        <v>8.69920784</v>
      </c>
      <c r="P219" s="9">
        <v>1.286865178672034</v>
      </c>
      <c r="Q219" s="9">
        <v>1.300163759310937</v>
      </c>
      <c r="R219" s="9">
        <v>0.0</v>
      </c>
      <c r="S219" s="9">
        <v>1.282480649653194</v>
      </c>
      <c r="T219" s="9">
        <v>1.250595291155259</v>
      </c>
      <c r="U219" s="9">
        <v>2.628864312948747</v>
      </c>
      <c r="V219" s="9">
        <v>1.335283629864198</v>
      </c>
      <c r="W219" s="9">
        <v>1.294141188547145</v>
      </c>
      <c r="X219" s="9">
        <v>1.229797230074833</v>
      </c>
      <c r="Y219" s="9">
        <v>1.253040621739858</v>
      </c>
      <c r="Z219" s="9">
        <v>1.264452160203426</v>
      </c>
      <c r="AA219" s="9">
        <v>1.192147776656929</v>
      </c>
      <c r="AB219" s="9">
        <v>1.33032468574952</v>
      </c>
      <c r="AC219" s="9">
        <v>1.198155545085816</v>
      </c>
      <c r="AD219" s="9">
        <v>1.279557901269558</v>
      </c>
      <c r="AE219" s="9">
        <v>1.344985557789105</v>
      </c>
      <c r="AF219" s="9">
        <v>1.298043815066603</v>
      </c>
      <c r="AG219" s="9">
        <v>1.280158116028102</v>
      </c>
      <c r="AH219" s="9">
        <v>1.28589136073456</v>
      </c>
      <c r="AI219" s="9">
        <v>1.356013114998533</v>
      </c>
      <c r="AJ219" s="9">
        <v>1.240520275590185</v>
      </c>
      <c r="AK219" s="9">
        <v>1.266906307932302</v>
      </c>
      <c r="AL219" s="9">
        <v>1.376727724441555</v>
      </c>
      <c r="AM219" s="9">
        <v>1.243776204257337</v>
      </c>
      <c r="AN219" s="9">
        <v>1.263180586347019</v>
      </c>
      <c r="AO219" s="9">
        <v>1.361848933342955</v>
      </c>
      <c r="AP219" s="9">
        <v>1.235995436960295</v>
      </c>
      <c r="AQ219" s="9">
        <v>1.235779850474366</v>
      </c>
      <c r="AR219" s="9">
        <v>1.225038816571355</v>
      </c>
      <c r="AS219" s="9">
        <v>1.203278817028388</v>
      </c>
      <c r="AT219" s="9">
        <v>1.347310816738625</v>
      </c>
      <c r="AU219" s="9">
        <v>1.213689669605733</v>
      </c>
      <c r="AV219" s="9">
        <v>1.316828369221108</v>
      </c>
      <c r="AW219" s="9">
        <v>1.274195497213886</v>
      </c>
    </row>
    <row r="220" ht="15.0" customHeight="1">
      <c r="A220" s="5" t="s">
        <v>501</v>
      </c>
      <c r="B220" s="5" t="s">
        <v>502</v>
      </c>
      <c r="C220" s="5" t="s">
        <v>59</v>
      </c>
      <c r="D220" s="5" t="s">
        <v>56</v>
      </c>
      <c r="E220" s="5">
        <v>11.5</v>
      </c>
      <c r="F220" s="6"/>
      <c r="G220" s="5"/>
      <c r="H220" s="5">
        <v>1727.0</v>
      </c>
      <c r="I220" s="5" t="b">
        <v>1</v>
      </c>
      <c r="J220" s="5" t="b">
        <v>1</v>
      </c>
      <c r="K220" s="7">
        <v>73.02</v>
      </c>
      <c r="L220" s="8">
        <v>0.1817139844430466</v>
      </c>
      <c r="M220" s="9">
        <f t="shared" si="1"/>
        <v>5.195468858</v>
      </c>
      <c r="N220" s="7">
        <f t="shared" si="2"/>
        <v>176.6459412</v>
      </c>
      <c r="O220" s="9">
        <f t="shared" si="3"/>
        <v>15.36051662</v>
      </c>
      <c r="P220" s="9">
        <v>5.298862107648206</v>
      </c>
      <c r="Q220" s="9">
        <v>5.480500174961148</v>
      </c>
      <c r="R220" s="9">
        <v>0.0</v>
      </c>
      <c r="S220" s="9">
        <v>5.238976214658265</v>
      </c>
      <c r="T220" s="9">
        <v>4.803471475438013</v>
      </c>
      <c r="U220" s="9">
        <v>11.35076887557057</v>
      </c>
      <c r="V220" s="9">
        <v>5.960183352044997</v>
      </c>
      <c r="W220" s="9">
        <v>5.398241162251885</v>
      </c>
      <c r="X220" s="9">
        <v>4.519402090811069</v>
      </c>
      <c r="Y220" s="9">
        <v>4.836870913572664</v>
      </c>
      <c r="Z220" s="9">
        <v>4.992734899953753</v>
      </c>
      <c r="AA220" s="9">
        <v>4.005168719603671</v>
      </c>
      <c r="AB220" s="9">
        <v>5.892451836226838</v>
      </c>
      <c r="AC220" s="9">
        <v>4.087225555285401</v>
      </c>
      <c r="AD220" s="9">
        <v>5.199055986924138</v>
      </c>
      <c r="AE220" s="9">
        <v>6.092696699547231</v>
      </c>
      <c r="AF220" s="9">
        <v>5.451545011563819</v>
      </c>
      <c r="AG220" s="9">
        <v>5.207253993288496</v>
      </c>
      <c r="AH220" s="9">
        <v>5.2855612590178</v>
      </c>
      <c r="AI220" s="9">
        <v>6.243316095187378</v>
      </c>
      <c r="AJ220" s="9">
        <v>4.665862327132778</v>
      </c>
      <c r="AK220" s="9">
        <v>5.026254766658123</v>
      </c>
      <c r="AL220" s="9">
        <v>6.526245659367031</v>
      </c>
      <c r="AM220" s="9">
        <v>4.710333282828625</v>
      </c>
      <c r="AN220" s="9">
        <v>4.975367165456738</v>
      </c>
      <c r="AO220" s="9">
        <v>6.323024358351145</v>
      </c>
      <c r="AP220" s="9">
        <v>4.60406002161216</v>
      </c>
      <c r="AQ220" s="9">
        <v>4.601115443261567</v>
      </c>
      <c r="AR220" s="9">
        <v>4.454409513353658</v>
      </c>
      <c r="AS220" s="9">
        <v>4.157201535371965</v>
      </c>
      <c r="AT220" s="9">
        <v>6.124456144638491</v>
      </c>
      <c r="AU220" s="9">
        <v>4.299397698449465</v>
      </c>
      <c r="AV220" s="9">
        <v>5.708113002134049</v>
      </c>
      <c r="AW220" s="9">
        <v>5.125813831594125</v>
      </c>
    </row>
    <row r="221" ht="15.0" customHeight="1">
      <c r="A221" s="5" t="s">
        <v>503</v>
      </c>
      <c r="B221" s="5" t="s">
        <v>504</v>
      </c>
      <c r="C221" s="5" t="s">
        <v>67</v>
      </c>
      <c r="D221" s="5" t="s">
        <v>103</v>
      </c>
      <c r="E221" s="5">
        <v>4.5</v>
      </c>
      <c r="F221" s="6">
        <v>0.03125</v>
      </c>
      <c r="G221" s="5">
        <v>90.0</v>
      </c>
      <c r="H221" s="5">
        <v>98.0</v>
      </c>
      <c r="I221" s="5" t="b">
        <v>0</v>
      </c>
      <c r="J221" s="5" t="b">
        <v>0</v>
      </c>
      <c r="K221" s="7">
        <v>2.8125</v>
      </c>
      <c r="L221" s="8">
        <v>0.02362104653455475</v>
      </c>
      <c r="M221" s="9">
        <f t="shared" si="1"/>
        <v>0.9621478245</v>
      </c>
      <c r="N221" s="7">
        <f t="shared" si="2"/>
        <v>32.71302603</v>
      </c>
      <c r="O221" s="9">
        <f t="shared" si="3"/>
        <v>7.269561341</v>
      </c>
      <c r="P221" s="9">
        <v>0.9621478245342745</v>
      </c>
      <c r="Q221" s="9">
        <v>0.9621478245342745</v>
      </c>
      <c r="R221" s="9">
        <v>0.9621478245342745</v>
      </c>
      <c r="S221" s="9">
        <v>0.9621478245342745</v>
      </c>
      <c r="T221" s="9">
        <v>0.9621478245342745</v>
      </c>
      <c r="U221" s="9">
        <v>0.9621478245342745</v>
      </c>
      <c r="V221" s="9">
        <v>0.9621478245342745</v>
      </c>
      <c r="W221" s="9">
        <v>0.9621478245342745</v>
      </c>
      <c r="X221" s="9">
        <v>0.9621478245342745</v>
      </c>
      <c r="Y221" s="9">
        <v>0.9621478245342745</v>
      </c>
      <c r="Z221" s="9">
        <v>0.9621478245342745</v>
      </c>
      <c r="AA221" s="9">
        <v>0.9621478245342745</v>
      </c>
      <c r="AB221" s="9">
        <v>0.9621478245342745</v>
      </c>
      <c r="AC221" s="9">
        <v>0.9621478245342745</v>
      </c>
      <c r="AD221" s="9">
        <v>0.9621478245342745</v>
      </c>
      <c r="AE221" s="9">
        <v>0.9621478245342745</v>
      </c>
      <c r="AF221" s="9">
        <v>0.9621478245342745</v>
      </c>
      <c r="AG221" s="9">
        <v>0.9621478245342745</v>
      </c>
      <c r="AH221" s="9">
        <v>0.9621478245342745</v>
      </c>
      <c r="AI221" s="9">
        <v>0.9621478245342745</v>
      </c>
      <c r="AJ221" s="9">
        <v>0.9621478245342745</v>
      </c>
      <c r="AK221" s="9">
        <v>0.9621478245342745</v>
      </c>
      <c r="AL221" s="9">
        <v>0.9621478245342745</v>
      </c>
      <c r="AM221" s="9">
        <v>0.9621478245342745</v>
      </c>
      <c r="AN221" s="9">
        <v>0.9621478245342745</v>
      </c>
      <c r="AO221" s="9">
        <v>0.9621478245342745</v>
      </c>
      <c r="AP221" s="9">
        <v>0.9621478245342745</v>
      </c>
      <c r="AQ221" s="9">
        <v>0.9621478245342745</v>
      </c>
      <c r="AR221" s="9">
        <v>0.9621478245342745</v>
      </c>
      <c r="AS221" s="9">
        <v>0.9621478245342745</v>
      </c>
      <c r="AT221" s="9">
        <v>0.9621478245342745</v>
      </c>
      <c r="AU221" s="9">
        <v>0.9621478245342745</v>
      </c>
      <c r="AV221" s="9">
        <v>0.9621478245342745</v>
      </c>
      <c r="AW221" s="9">
        <v>0.9621478245342745</v>
      </c>
    </row>
    <row r="222" ht="15.0" customHeight="1">
      <c r="A222" s="5" t="s">
        <v>505</v>
      </c>
      <c r="B222" s="5" t="s">
        <v>506</v>
      </c>
      <c r="C222" s="5" t="s">
        <v>67</v>
      </c>
      <c r="D222" s="5" t="s">
        <v>83</v>
      </c>
      <c r="E222" s="5">
        <v>5.5</v>
      </c>
      <c r="F222" s="6">
        <v>0.09090909091</v>
      </c>
      <c r="G222" s="5">
        <v>42.0</v>
      </c>
      <c r="H222" s="5">
        <v>170.0</v>
      </c>
      <c r="I222" s="5" t="b">
        <v>0</v>
      </c>
      <c r="J222" s="5" t="b">
        <v>0</v>
      </c>
      <c r="K222" s="7">
        <v>18.5818181818416</v>
      </c>
      <c r="L222" s="8">
        <v>0.1187730540295382</v>
      </c>
      <c r="M222" s="9">
        <f t="shared" si="1"/>
        <v>1.300211673</v>
      </c>
      <c r="N222" s="7">
        <f t="shared" si="2"/>
        <v>44.20719689</v>
      </c>
      <c r="O222" s="9">
        <f t="shared" si="3"/>
        <v>8.037672161</v>
      </c>
      <c r="P222" s="9">
        <v>1.341739832164224</v>
      </c>
      <c r="Q222" s="9">
        <v>1.254792823164922</v>
      </c>
      <c r="R222" s="9">
        <v>1.296830018420131</v>
      </c>
      <c r="S222" s="9">
        <v>1.380060315760403</v>
      </c>
      <c r="T222" s="9">
        <v>1.267577697024439</v>
      </c>
      <c r="U222" s="9">
        <v>1.360400959418974</v>
      </c>
      <c r="V222" s="9">
        <v>1.362953809942308</v>
      </c>
      <c r="W222" s="9">
        <v>1.232592122671787</v>
      </c>
      <c r="X222" s="9">
        <v>1.295387314976254</v>
      </c>
      <c r="Y222" s="9">
        <v>1.263662966696212</v>
      </c>
      <c r="Z222" s="9">
        <v>1.25435983150551</v>
      </c>
      <c r="AA222" s="9">
        <v>1.30504597438349</v>
      </c>
      <c r="AB222" s="9">
        <v>1.277917229364795</v>
      </c>
      <c r="AC222" s="9">
        <v>1.305850171163495</v>
      </c>
      <c r="AD222" s="9">
        <v>1.275897830351376</v>
      </c>
      <c r="AE222" s="9">
        <v>1.311858834064114</v>
      </c>
      <c r="AF222" s="9">
        <v>1.289367768279146</v>
      </c>
      <c r="AG222" s="9">
        <v>1.316832383871755</v>
      </c>
      <c r="AH222" s="9">
        <v>1.315081694888239</v>
      </c>
      <c r="AI222" s="9">
        <v>1.299815686963167</v>
      </c>
      <c r="AJ222" s="9">
        <v>1.270266502856919</v>
      </c>
      <c r="AK222" s="9">
        <v>1.258722408634832</v>
      </c>
      <c r="AL222" s="9">
        <v>1.35576729183665</v>
      </c>
      <c r="AM222" s="9">
        <v>1.263841001985073</v>
      </c>
      <c r="AN222" s="9">
        <v>1.22763079690481</v>
      </c>
      <c r="AO222" s="9">
        <v>1.330594325518242</v>
      </c>
      <c r="AP222" s="9">
        <v>1.345835019504477</v>
      </c>
      <c r="AQ222" s="9">
        <v>1.236823014957464</v>
      </c>
      <c r="AR222" s="9">
        <v>1.300311355360266</v>
      </c>
      <c r="AS222" s="9">
        <v>1.353847050189905</v>
      </c>
      <c r="AT222" s="9">
        <v>1.302229346383927</v>
      </c>
      <c r="AU222" s="9">
        <v>1.299239374055185</v>
      </c>
      <c r="AV222" s="9">
        <v>1.367773136164065</v>
      </c>
      <c r="AW222" s="9">
        <v>1.286290998806347</v>
      </c>
    </row>
    <row r="223" ht="15.0" customHeight="1">
      <c r="A223" s="5" t="s">
        <v>507</v>
      </c>
      <c r="B223" s="5" t="s">
        <v>508</v>
      </c>
      <c r="C223" s="5" t="s">
        <v>67</v>
      </c>
      <c r="D223" s="5" t="s">
        <v>83</v>
      </c>
      <c r="E223" s="5">
        <v>4.5</v>
      </c>
      <c r="F223" s="6">
        <v>0.07692307692</v>
      </c>
      <c r="G223" s="5">
        <v>67.0</v>
      </c>
      <c r="H223" s="5">
        <v>1090.0</v>
      </c>
      <c r="I223" s="5" t="b">
        <v>0</v>
      </c>
      <c r="J223" s="5" t="b">
        <v>0</v>
      </c>
      <c r="K223" s="7">
        <v>20.1446153844592</v>
      </c>
      <c r="L223" s="8">
        <v>0.07014134351969374</v>
      </c>
      <c r="M223" s="9">
        <f t="shared" si="1"/>
        <v>1.060427419</v>
      </c>
      <c r="N223" s="7">
        <f t="shared" si="2"/>
        <v>36.05453225</v>
      </c>
      <c r="O223" s="9">
        <f t="shared" si="3"/>
        <v>8.012118277</v>
      </c>
      <c r="P223" s="9">
        <v>1.062589988539958</v>
      </c>
      <c r="Q223" s="9">
        <v>1.058062242573188</v>
      </c>
      <c r="R223" s="9">
        <v>1.06025132007524</v>
      </c>
      <c r="S223" s="9">
        <v>1.064585519117078</v>
      </c>
      <c r="T223" s="9">
        <v>1.05872801200815</v>
      </c>
      <c r="U223" s="9">
        <v>1.063561762550766</v>
      </c>
      <c r="V223" s="9">
        <v>1.06369470166844</v>
      </c>
      <c r="W223" s="9">
        <v>1.05690614608092</v>
      </c>
      <c r="X223" s="9">
        <v>1.060176191617408</v>
      </c>
      <c r="Y223" s="9">
        <v>1.058524153305491</v>
      </c>
      <c r="Z223" s="9">
        <v>1.058039694629767</v>
      </c>
      <c r="AA223" s="9">
        <v>1.060679164136863</v>
      </c>
      <c r="AB223" s="9">
        <v>1.059266440832685</v>
      </c>
      <c r="AC223" s="9">
        <v>1.060721042503572</v>
      </c>
      <c r="AD223" s="9">
        <v>1.059161281082585</v>
      </c>
      <c r="AE223" s="9">
        <v>1.061033942274675</v>
      </c>
      <c r="AF223" s="9">
        <v>1.059862725075047</v>
      </c>
      <c r="AG223" s="9">
        <v>1.061292938763931</v>
      </c>
      <c r="AH223" s="9">
        <v>1.06120177202829</v>
      </c>
      <c r="AI223" s="9">
        <v>1.060406798094087</v>
      </c>
      <c r="AJ223" s="9">
        <v>1.058868030968015</v>
      </c>
      <c r="AK223" s="9">
        <v>1.058266874854013</v>
      </c>
      <c r="AL223" s="9">
        <v>1.063320465352062</v>
      </c>
      <c r="AM223" s="9">
        <v>1.058533424453175</v>
      </c>
      <c r="AN223" s="9">
        <v>1.056647786155837</v>
      </c>
      <c r="AO223" s="9">
        <v>1.062009588784466</v>
      </c>
      <c r="AP223" s="9">
        <v>1.06280324450099</v>
      </c>
      <c r="AQ223" s="9">
        <v>1.057126468846508</v>
      </c>
      <c r="AR223" s="9">
        <v>1.060432609914546</v>
      </c>
      <c r="AS223" s="9">
        <v>1.063220469199563</v>
      </c>
      <c r="AT223" s="9">
        <v>1.060532488866354</v>
      </c>
      <c r="AU223" s="9">
        <v>1.060376786728834</v>
      </c>
      <c r="AV223" s="9">
        <v>1.063945666999097</v>
      </c>
      <c r="AW223" s="9">
        <v>1.059702502995743</v>
      </c>
    </row>
    <row r="224" ht="15.0" customHeight="1">
      <c r="A224" s="5" t="s">
        <v>509</v>
      </c>
      <c r="B224" s="5" t="s">
        <v>510</v>
      </c>
      <c r="C224" s="5" t="s">
        <v>67</v>
      </c>
      <c r="D224" s="5" t="s">
        <v>83</v>
      </c>
      <c r="E224" s="5">
        <v>4.5</v>
      </c>
      <c r="F224" s="6">
        <v>0.08333333333</v>
      </c>
      <c r="G224" s="5">
        <v>85.0</v>
      </c>
      <c r="H224" s="5">
        <v>484.0</v>
      </c>
      <c r="I224" s="5" t="b">
        <v>0</v>
      </c>
      <c r="J224" s="5" t="b">
        <v>0</v>
      </c>
      <c r="K224" s="7">
        <v>21.9699999997708</v>
      </c>
      <c r="L224" s="8">
        <v>0.07956553754985142</v>
      </c>
      <c r="M224" s="9">
        <f t="shared" si="1"/>
        <v>1.096357259</v>
      </c>
      <c r="N224" s="7">
        <f t="shared" si="2"/>
        <v>37.27614682</v>
      </c>
      <c r="O224" s="9">
        <f t="shared" si="3"/>
        <v>8.283588183</v>
      </c>
      <c r="P224" s="9">
        <v>1.100200593821294</v>
      </c>
      <c r="Q224" s="9">
        <v>1.092153850772545</v>
      </c>
      <c r="R224" s="9">
        <v>1.096044295223733</v>
      </c>
      <c r="S224" s="9">
        <v>1.103747065270411</v>
      </c>
      <c r="T224" s="9">
        <v>1.093337061052487</v>
      </c>
      <c r="U224" s="9">
        <v>1.101927637658077</v>
      </c>
      <c r="V224" s="9">
        <v>1.102163898024472</v>
      </c>
      <c r="W224" s="9">
        <v>1.090099227681693</v>
      </c>
      <c r="X224" s="9">
        <v>1.095910776382292</v>
      </c>
      <c r="Y224" s="9">
        <v>1.092974761884075</v>
      </c>
      <c r="Z224" s="9">
        <v>1.092113778403574</v>
      </c>
      <c r="AA224" s="9">
        <v>1.096804662800466</v>
      </c>
      <c r="AB224" s="9">
        <v>1.094293960673816</v>
      </c>
      <c r="AC224" s="9">
        <v>1.096879089338237</v>
      </c>
      <c r="AD224" s="9">
        <v>1.094107070001429</v>
      </c>
      <c r="AE224" s="9">
        <v>1.097435177086215</v>
      </c>
      <c r="AF224" s="9">
        <v>1.095353681364314</v>
      </c>
      <c r="AG224" s="9">
        <v>1.097895467529818</v>
      </c>
      <c r="AH224" s="9">
        <v>1.097733445344457</v>
      </c>
      <c r="AI224" s="9">
        <v>1.096320611889149</v>
      </c>
      <c r="AJ224" s="9">
        <v>1.093585903765894</v>
      </c>
      <c r="AK224" s="9">
        <v>1.0925175247497</v>
      </c>
      <c r="AL224" s="9">
        <v>1.101498802522315</v>
      </c>
      <c r="AM224" s="9">
        <v>1.092991238635139</v>
      </c>
      <c r="AN224" s="9">
        <v>1.089640068544565</v>
      </c>
      <c r="AO224" s="9">
        <v>1.099169103156341</v>
      </c>
      <c r="AP224" s="9">
        <v>1.100579593865605</v>
      </c>
      <c r="AQ224" s="9">
        <v>1.090490786902437</v>
      </c>
      <c r="AR224" s="9">
        <v>1.096366484844121</v>
      </c>
      <c r="AS224" s="9">
        <v>1.101321088633123</v>
      </c>
      <c r="AT224" s="9">
        <v>1.096543990443392</v>
      </c>
      <c r="AU224" s="9">
        <v>1.096267275472639</v>
      </c>
      <c r="AV224" s="9">
        <v>1.102609915434626</v>
      </c>
      <c r="AW224" s="9">
        <v>1.095068933520164</v>
      </c>
    </row>
    <row r="225" ht="15.0" customHeight="1">
      <c r="A225" s="5" t="s">
        <v>511</v>
      </c>
      <c r="B225" s="5" t="s">
        <v>512</v>
      </c>
      <c r="C225" s="5" t="s">
        <v>67</v>
      </c>
      <c r="D225" s="5" t="s">
        <v>52</v>
      </c>
      <c r="E225" s="5">
        <v>7.0</v>
      </c>
      <c r="F225" s="6">
        <v>0.1515151515</v>
      </c>
      <c r="G225" s="10">
        <v>59.0</v>
      </c>
      <c r="H225" s="5">
        <v>713.0</v>
      </c>
      <c r="I225" s="5" t="b">
        <v>0</v>
      </c>
      <c r="J225" s="5" t="b">
        <v>0</v>
      </c>
      <c r="K225" s="7">
        <v>28.412121211575</v>
      </c>
      <c r="L225" s="8">
        <v>0.05570997022245752</v>
      </c>
      <c r="M225" s="9">
        <f t="shared" si="1"/>
        <v>1.477634648</v>
      </c>
      <c r="N225" s="7">
        <f t="shared" si="2"/>
        <v>50.23957805</v>
      </c>
      <c r="O225" s="9">
        <f t="shared" si="3"/>
        <v>7.177082578</v>
      </c>
      <c r="P225" s="9">
        <v>1.603192792995513</v>
      </c>
      <c r="Q225" s="9">
        <v>1.340313209867218</v>
      </c>
      <c r="R225" s="9">
        <v>1.467410398048363</v>
      </c>
      <c r="S225" s="9">
        <v>1.719052704325172</v>
      </c>
      <c r="T225" s="9">
        <v>1.378967585092071</v>
      </c>
      <c r="U225" s="9">
        <v>1.659613702810502</v>
      </c>
      <c r="V225" s="9">
        <v>1.667332108412796</v>
      </c>
      <c r="W225" s="9">
        <v>1.273190591643071</v>
      </c>
      <c r="X225" s="9">
        <v>1.463048462148911</v>
      </c>
      <c r="Y225" s="9">
        <v>1.367131609495113</v>
      </c>
      <c r="Z225" s="9">
        <v>1.339004082983678</v>
      </c>
      <c r="AA225" s="9">
        <v>1.492250896916651</v>
      </c>
      <c r="AB225" s="9">
        <v>1.410228602379002</v>
      </c>
      <c r="AC225" s="9">
        <v>1.49468234242253</v>
      </c>
      <c r="AD225" s="9">
        <v>1.404123058589433</v>
      </c>
      <c r="AE225" s="9">
        <v>1.512849209996846</v>
      </c>
      <c r="AF225" s="9">
        <v>1.444848688004066</v>
      </c>
      <c r="AG225" s="9">
        <v>1.527886469071635</v>
      </c>
      <c r="AH225" s="9">
        <v>1.522593355536497</v>
      </c>
      <c r="AI225" s="9">
        <v>1.476437405543916</v>
      </c>
      <c r="AJ225" s="9">
        <v>1.387097044224598</v>
      </c>
      <c r="AK225" s="9">
        <v>1.352194099182284</v>
      </c>
      <c r="AL225" s="9">
        <v>1.645604059276862</v>
      </c>
      <c r="AM225" s="9">
        <v>1.367669889570032</v>
      </c>
      <c r="AN225" s="9">
        <v>1.258190291294649</v>
      </c>
      <c r="AO225" s="9">
        <v>1.569494955950044</v>
      </c>
      <c r="AP225" s="9">
        <v>1.615574370616505</v>
      </c>
      <c r="AQ225" s="9">
        <v>1.285982465833114</v>
      </c>
      <c r="AR225" s="9">
        <v>1.477936032156824</v>
      </c>
      <c r="AS225" s="9">
        <v>1.639798312427009</v>
      </c>
      <c r="AT225" s="9">
        <v>1.483734974369406</v>
      </c>
      <c r="AU225" s="9">
        <v>1.474694954610347</v>
      </c>
      <c r="AV225" s="9">
        <v>1.681903080809844</v>
      </c>
      <c r="AW225" s="9">
        <v>1.435546241770432</v>
      </c>
    </row>
    <row r="226" ht="15.0" customHeight="1">
      <c r="A226" s="5" t="s">
        <v>513</v>
      </c>
      <c r="B226" s="5" t="s">
        <v>514</v>
      </c>
      <c r="C226" s="5" t="s">
        <v>67</v>
      </c>
      <c r="D226" s="5" t="s">
        <v>52</v>
      </c>
      <c r="E226" s="5">
        <v>5.0</v>
      </c>
      <c r="F226" s="6"/>
      <c r="G226" s="5"/>
      <c r="H226" s="5">
        <v>460.0</v>
      </c>
      <c r="I226" s="5" t="b">
        <v>0</v>
      </c>
      <c r="J226" s="5" t="b">
        <v>0</v>
      </c>
      <c r="K226" s="7">
        <v>22.95</v>
      </c>
      <c r="L226" s="8">
        <v>0.04008373629332754</v>
      </c>
      <c r="M226" s="9">
        <f t="shared" si="1"/>
        <v>1.111494424</v>
      </c>
      <c r="N226" s="7">
        <f t="shared" si="2"/>
        <v>37.79081042</v>
      </c>
      <c r="O226" s="9">
        <f t="shared" si="3"/>
        <v>7.558162084</v>
      </c>
      <c r="P226" s="9">
        <v>1.139980008027763</v>
      </c>
      <c r="Q226" s="9">
        <v>1.080340082065582</v>
      </c>
      <c r="R226" s="9">
        <v>1.109174831432274</v>
      </c>
      <c r="S226" s="9">
        <v>1.166265337802929</v>
      </c>
      <c r="T226" s="9">
        <v>1.089109664127037</v>
      </c>
      <c r="U226" s="9">
        <v>1.152780313186655</v>
      </c>
      <c r="V226" s="9">
        <v>1.154531400635856</v>
      </c>
      <c r="W226" s="9">
        <v>1.065111862613781</v>
      </c>
      <c r="X226" s="9">
        <v>1.108185231817883</v>
      </c>
      <c r="Y226" s="9">
        <v>1.086424416760572</v>
      </c>
      <c r="Z226" s="9">
        <v>1.080043078283546</v>
      </c>
      <c r="AA226" s="9">
        <v>1.114810436509468</v>
      </c>
      <c r="AB226" s="9">
        <v>1.096201902840704</v>
      </c>
      <c r="AC226" s="9">
        <v>1.115362062574246</v>
      </c>
      <c r="AD226" s="9">
        <v>1.094816728019458</v>
      </c>
      <c r="AE226" s="9">
        <v>1.119483609878162</v>
      </c>
      <c r="AF226" s="9">
        <v>1.104056218945867</v>
      </c>
      <c r="AG226" s="9">
        <v>1.12289513772381</v>
      </c>
      <c r="AH226" s="9">
        <v>1.121694280298564</v>
      </c>
      <c r="AI226" s="9">
        <v>1.111222803558098</v>
      </c>
      <c r="AJ226" s="9">
        <v>1.090954007970735</v>
      </c>
      <c r="AK226" s="9">
        <v>1.083035519081585</v>
      </c>
      <c r="AL226" s="9">
        <v>1.149601922179032</v>
      </c>
      <c r="AM226" s="9">
        <v>1.08654653725176</v>
      </c>
      <c r="AN226" s="9">
        <v>1.061708719655533</v>
      </c>
      <c r="AO226" s="9">
        <v>1.132334923983725</v>
      </c>
      <c r="AP226" s="9">
        <v>1.142789037028126</v>
      </c>
      <c r="AQ226" s="9">
        <v>1.068013976275606</v>
      </c>
      <c r="AR226" s="9">
        <v>1.111562799457266</v>
      </c>
      <c r="AS226" s="9">
        <v>1.148284762785518</v>
      </c>
      <c r="AT226" s="9">
        <v>1.112878415071464</v>
      </c>
      <c r="AU226" s="9">
        <v>1.11082749083189</v>
      </c>
      <c r="AV226" s="9">
        <v>1.157837141251447</v>
      </c>
      <c r="AW226" s="9">
        <v>1.101945757577818</v>
      </c>
    </row>
    <row r="227" ht="15.0" customHeight="1">
      <c r="A227" s="5" t="s">
        <v>515</v>
      </c>
      <c r="B227" s="5" t="s">
        <v>516</v>
      </c>
      <c r="C227" s="5" t="s">
        <v>67</v>
      </c>
      <c r="D227" s="5" t="s">
        <v>52</v>
      </c>
      <c r="E227" s="5">
        <v>7.0</v>
      </c>
      <c r="F227" s="6">
        <v>0.6</v>
      </c>
      <c r="G227" s="5">
        <v>68.0</v>
      </c>
      <c r="H227" s="5">
        <v>1417.0</v>
      </c>
      <c r="I227" s="5" t="b">
        <v>1</v>
      </c>
      <c r="J227" s="5" t="b">
        <v>0</v>
      </c>
      <c r="K227" s="7">
        <v>49.98</v>
      </c>
      <c r="L227" s="8">
        <v>0.08759213739278474</v>
      </c>
      <c r="M227" s="9">
        <f t="shared" si="1"/>
        <v>2.170733412</v>
      </c>
      <c r="N227" s="7">
        <f t="shared" si="2"/>
        <v>73.804936</v>
      </c>
      <c r="O227" s="9">
        <f t="shared" si="3"/>
        <v>10.54356229</v>
      </c>
      <c r="P227" s="9">
        <v>2.508600799311868</v>
      </c>
      <c r="Q227" s="9">
        <v>1.914494197579611</v>
      </c>
      <c r="R227" s="9">
        <v>2.16343883571996</v>
      </c>
      <c r="S227" s="9">
        <v>2.59241383070581</v>
      </c>
      <c r="T227" s="9">
        <v>1.931691345405952</v>
      </c>
      <c r="U227" s="9">
        <v>2.584964434303952</v>
      </c>
      <c r="V227" s="9">
        <v>2.45723448499467</v>
      </c>
      <c r="W227" s="9">
        <v>1.754546744274783</v>
      </c>
      <c r="X227" s="9">
        <v>2.213892476702022</v>
      </c>
      <c r="Y227" s="9">
        <v>2.000277110784547</v>
      </c>
      <c r="Z227" s="9">
        <v>1.890357745469436</v>
      </c>
      <c r="AA227" s="9">
        <v>2.17150380000336</v>
      </c>
      <c r="AB227" s="9">
        <v>2.062755455336398</v>
      </c>
      <c r="AC227" s="9">
        <v>2.1930501445605</v>
      </c>
      <c r="AD227" s="9">
        <v>1.976151204155074</v>
      </c>
      <c r="AE227" s="9">
        <v>2.193174867212118</v>
      </c>
      <c r="AF227" s="9">
        <v>2.116677910753786</v>
      </c>
      <c r="AG227" s="9">
        <v>2.229821616958429</v>
      </c>
      <c r="AH227" s="9">
        <v>2.222785655541732</v>
      </c>
      <c r="AI227" s="9">
        <v>2.200299109107613</v>
      </c>
      <c r="AJ227" s="9">
        <v>1.999683223099085</v>
      </c>
      <c r="AK227" s="9">
        <v>1.88659155150957</v>
      </c>
      <c r="AL227" s="9">
        <v>2.509631094874581</v>
      </c>
      <c r="AM227" s="9">
        <v>1.902348370587962</v>
      </c>
      <c r="AN227" s="9">
        <v>1.757165134742037</v>
      </c>
      <c r="AO227" s="9">
        <v>2.38324371876353</v>
      </c>
      <c r="AP227" s="9">
        <v>2.452526049450357</v>
      </c>
      <c r="AQ227" s="9">
        <v>1.734965754757345</v>
      </c>
      <c r="AR227" s="9">
        <v>2.233926827347424</v>
      </c>
      <c r="AS227" s="9">
        <v>2.558505463844304</v>
      </c>
      <c r="AT227" s="9">
        <v>2.108713369915121</v>
      </c>
      <c r="AU227" s="9">
        <v>2.172810213927478</v>
      </c>
      <c r="AV227" s="9">
        <v>2.550850778785181</v>
      </c>
      <c r="AW227" s="9">
        <v>2.175842680216024</v>
      </c>
    </row>
    <row r="228" ht="15.0" customHeight="1">
      <c r="A228" s="5" t="s">
        <v>517</v>
      </c>
      <c r="B228" s="5" t="s">
        <v>518</v>
      </c>
      <c r="C228" s="5" t="s">
        <v>67</v>
      </c>
      <c r="D228" s="5" t="s">
        <v>52</v>
      </c>
      <c r="E228" s="5">
        <v>5.0</v>
      </c>
      <c r="F228" s="6">
        <v>0.0</v>
      </c>
      <c r="G228" s="5"/>
      <c r="H228" s="5">
        <v>1343.0</v>
      </c>
      <c r="I228" s="5" t="b">
        <v>0</v>
      </c>
      <c r="J228" s="5" t="b">
        <v>0</v>
      </c>
      <c r="K228" s="7">
        <v>0.0</v>
      </c>
      <c r="L228" s="8">
        <v>0.09674664772677788</v>
      </c>
      <c r="M228" s="9">
        <f t="shared" si="1"/>
        <v>0</v>
      </c>
      <c r="N228" s="7">
        <f t="shared" si="2"/>
        <v>0</v>
      </c>
      <c r="O228" s="9">
        <f t="shared" si="3"/>
        <v>0</v>
      </c>
      <c r="P228" s="9">
        <v>0.0</v>
      </c>
      <c r="Q228" s="9">
        <v>0.0</v>
      </c>
      <c r="R228" s="9">
        <v>0.0</v>
      </c>
      <c r="S228" s="9">
        <v>0.0</v>
      </c>
      <c r="T228" s="9">
        <v>0.0</v>
      </c>
      <c r="U228" s="9">
        <v>0.0</v>
      </c>
      <c r="V228" s="9">
        <v>0.0</v>
      </c>
      <c r="W228" s="9">
        <v>0.0</v>
      </c>
      <c r="X228" s="9">
        <v>0.0</v>
      </c>
      <c r="Y228" s="9">
        <v>0.0</v>
      </c>
      <c r="Z228" s="9">
        <v>0.0</v>
      </c>
      <c r="AA228" s="9">
        <v>0.0</v>
      </c>
      <c r="AB228" s="9">
        <v>0.0</v>
      </c>
      <c r="AC228" s="9">
        <v>0.0</v>
      </c>
      <c r="AD228" s="9">
        <v>0.0</v>
      </c>
      <c r="AE228" s="9">
        <v>0.0</v>
      </c>
      <c r="AF228" s="9">
        <v>0.0</v>
      </c>
      <c r="AG228" s="9">
        <v>0.0</v>
      </c>
      <c r="AH228" s="9">
        <v>0.0</v>
      </c>
      <c r="AI228" s="9">
        <v>0.0</v>
      </c>
      <c r="AJ228" s="9">
        <v>0.0</v>
      </c>
      <c r="AK228" s="9">
        <v>0.0</v>
      </c>
      <c r="AL228" s="9">
        <v>0.0</v>
      </c>
      <c r="AM228" s="9">
        <v>0.0</v>
      </c>
      <c r="AN228" s="9">
        <v>0.0</v>
      </c>
      <c r="AO228" s="9">
        <v>0.0</v>
      </c>
      <c r="AP228" s="9">
        <v>0.0</v>
      </c>
      <c r="AQ228" s="9">
        <v>0.0</v>
      </c>
      <c r="AR228" s="9">
        <v>0.0</v>
      </c>
      <c r="AS228" s="9">
        <v>0.0</v>
      </c>
      <c r="AT228" s="9">
        <v>0.0</v>
      </c>
      <c r="AU228" s="9">
        <v>0.0</v>
      </c>
      <c r="AV228" s="9">
        <v>0.0</v>
      </c>
      <c r="AW228" s="9">
        <v>0.0</v>
      </c>
    </row>
    <row r="229" ht="15.0" customHeight="1">
      <c r="A229" s="5" t="s">
        <v>519</v>
      </c>
      <c r="B229" s="5" t="s">
        <v>520</v>
      </c>
      <c r="C229" s="5" t="s">
        <v>67</v>
      </c>
      <c r="D229" s="5" t="s">
        <v>52</v>
      </c>
      <c r="E229" s="5">
        <v>4.5</v>
      </c>
      <c r="F229" s="6">
        <v>0.2</v>
      </c>
      <c r="G229" s="5">
        <v>69.0</v>
      </c>
      <c r="H229" s="5">
        <v>1451.0</v>
      </c>
      <c r="I229" s="5" t="b">
        <v>0</v>
      </c>
      <c r="J229" s="5" t="b">
        <v>0</v>
      </c>
      <c r="K229" s="7">
        <v>32.16</v>
      </c>
      <c r="L229" s="8">
        <v>0.05491022133019946</v>
      </c>
      <c r="M229" s="9">
        <f t="shared" si="1"/>
        <v>1.116637034</v>
      </c>
      <c r="N229" s="7">
        <f t="shared" si="2"/>
        <v>37.96565917</v>
      </c>
      <c r="O229" s="9">
        <f t="shared" si="3"/>
        <v>8.436813149</v>
      </c>
      <c r="P229" s="9">
        <v>1.152333038919272</v>
      </c>
      <c r="Q229" s="9">
        <v>1.077596741854425</v>
      </c>
      <c r="R229" s="9">
        <v>1.1137302943311</v>
      </c>
      <c r="S229" s="9">
        <v>1.185271849335805</v>
      </c>
      <c r="T229" s="9">
        <v>1.088586126557804</v>
      </c>
      <c r="U229" s="9">
        <v>1.168373424507315</v>
      </c>
      <c r="V229" s="9">
        <v>1.170567756402914</v>
      </c>
      <c r="W229" s="9">
        <v>1.058513875563809</v>
      </c>
      <c r="X229" s="9">
        <v>1.11249020206802</v>
      </c>
      <c r="Y229" s="9">
        <v>1.085221175283384</v>
      </c>
      <c r="Z229" s="9">
        <v>1.07722455891614</v>
      </c>
      <c r="AA229" s="9">
        <v>1.120792413346077</v>
      </c>
      <c r="AB229" s="9">
        <v>1.09747358996102</v>
      </c>
      <c r="AC229" s="9">
        <v>1.121483669895794</v>
      </c>
      <c r="AD229" s="9">
        <v>1.095737792418398</v>
      </c>
      <c r="AE229" s="9">
        <v>1.126648484886805</v>
      </c>
      <c r="AF229" s="9">
        <v>1.107316031785125</v>
      </c>
      <c r="AG229" s="9">
        <v>1.130923556567462</v>
      </c>
      <c r="AH229" s="9">
        <v>1.129418731807575</v>
      </c>
      <c r="AI229" s="9">
        <v>1.116296659910983</v>
      </c>
      <c r="AJ229" s="9">
        <v>1.090897320395967</v>
      </c>
      <c r="AK229" s="9">
        <v>1.080974462035958</v>
      </c>
      <c r="AL229" s="9">
        <v>1.164390502484832</v>
      </c>
      <c r="AM229" s="9">
        <v>1.085374207554298</v>
      </c>
      <c r="AN229" s="9">
        <v>1.054249311197262</v>
      </c>
      <c r="AO229" s="9">
        <v>1.14275279107384</v>
      </c>
      <c r="AP229" s="9">
        <v>1.155853104084478</v>
      </c>
      <c r="AQ229" s="9">
        <v>1.062150587468577</v>
      </c>
      <c r="AR229" s="9">
        <v>1.116722717356748</v>
      </c>
      <c r="AS229" s="9">
        <v>1.162739936792014</v>
      </c>
      <c r="AT229" s="9">
        <v>1.118371348500727</v>
      </c>
      <c r="AU229" s="9">
        <v>1.115801283552566</v>
      </c>
      <c r="AV229" s="9">
        <v>1.174710263434576</v>
      </c>
      <c r="AW229" s="9">
        <v>1.104671359358026</v>
      </c>
    </row>
    <row r="230" ht="15.0" customHeight="1">
      <c r="A230" s="5" t="s">
        <v>521</v>
      </c>
      <c r="B230" s="5" t="s">
        <v>522</v>
      </c>
      <c r="C230" s="5" t="s">
        <v>67</v>
      </c>
      <c r="D230" s="5" t="s">
        <v>56</v>
      </c>
      <c r="E230" s="5">
        <v>5.0</v>
      </c>
      <c r="F230" s="6"/>
      <c r="G230" s="5"/>
      <c r="H230" s="5">
        <v>627.0</v>
      </c>
      <c r="I230" s="5" t="b">
        <v>0</v>
      </c>
      <c r="J230" s="5" t="b">
        <v>0</v>
      </c>
      <c r="K230" s="7">
        <v>23.98</v>
      </c>
      <c r="L230" s="8">
        <v>0.1114742576731603</v>
      </c>
      <c r="M230" s="9">
        <f t="shared" si="1"/>
        <v>1.664517372</v>
      </c>
      <c r="N230" s="7">
        <f t="shared" si="2"/>
        <v>56.59359065</v>
      </c>
      <c r="O230" s="9">
        <f t="shared" si="3"/>
        <v>11.31871813</v>
      </c>
      <c r="P230" s="9">
        <v>1.791099360240567</v>
      </c>
      <c r="Q230" s="9">
        <v>1.526076167825246</v>
      </c>
      <c r="R230" s="9">
        <v>1.65420974958895</v>
      </c>
      <c r="S230" s="9">
        <v>1.907904032585762</v>
      </c>
      <c r="T230" s="9">
        <v>1.565045743936871</v>
      </c>
      <c r="U230" s="9">
        <v>1.847980345291611</v>
      </c>
      <c r="V230" s="9">
        <v>1.855761689391194</v>
      </c>
      <c r="W230" s="9">
        <v>1.458406209004761</v>
      </c>
      <c r="X230" s="9">
        <v>1.649812244984648</v>
      </c>
      <c r="Y230" s="9">
        <v>1.553113253780248</v>
      </c>
      <c r="Z230" s="9">
        <v>1.524756365877055</v>
      </c>
      <c r="AA230" s="9">
        <v>1.679252806310666</v>
      </c>
      <c r="AB230" s="9">
        <v>1.596561674162192</v>
      </c>
      <c r="AC230" s="9">
        <v>1.681704078647922</v>
      </c>
      <c r="AD230" s="9">
        <v>1.590406343697622</v>
      </c>
      <c r="AE230" s="9">
        <v>1.700019085022464</v>
      </c>
      <c r="AF230" s="9">
        <v>1.63146406370824</v>
      </c>
      <c r="AG230" s="9">
        <v>1.715178963008241</v>
      </c>
      <c r="AH230" s="9">
        <v>1.709842687629965</v>
      </c>
      <c r="AI230" s="9">
        <v>1.663310366365495</v>
      </c>
      <c r="AJ230" s="9">
        <v>1.573241493436598</v>
      </c>
      <c r="AK230" s="9">
        <v>1.53805393794167</v>
      </c>
      <c r="AL230" s="9">
        <v>1.833856462372663</v>
      </c>
      <c r="AM230" s="9">
        <v>1.553655923173477</v>
      </c>
      <c r="AN230" s="9">
        <v>1.443283591119342</v>
      </c>
      <c r="AO230" s="9">
        <v>1.757126739601851</v>
      </c>
      <c r="AP230" s="9">
        <v>1.803581901445191</v>
      </c>
      <c r="AQ230" s="9">
        <v>1.471302392475828</v>
      </c>
      <c r="AR230" s="9">
        <v>1.664821213288125</v>
      </c>
      <c r="AS230" s="9">
        <v>1.828003373493743</v>
      </c>
      <c r="AT230" s="9">
        <v>1.670667442042453</v>
      </c>
      <c r="AU230" s="9">
        <v>1.661553706895991</v>
      </c>
      <c r="AV230" s="9">
        <v>1.870451478439499</v>
      </c>
      <c r="AW230" s="9">
        <v>1.622085762172717</v>
      </c>
    </row>
    <row r="231" ht="15.0" customHeight="1">
      <c r="A231" s="5" t="s">
        <v>523</v>
      </c>
      <c r="B231" s="5" t="s">
        <v>85</v>
      </c>
      <c r="C231" s="5" t="s">
        <v>141</v>
      </c>
      <c r="D231" s="5" t="s">
        <v>103</v>
      </c>
      <c r="E231" s="5">
        <v>4.0</v>
      </c>
      <c r="F231" s="6">
        <v>0.9677419355</v>
      </c>
      <c r="G231" s="5">
        <v>90.0</v>
      </c>
      <c r="H231" s="5">
        <v>94.0</v>
      </c>
      <c r="I231" s="5" t="b">
        <v>0</v>
      </c>
      <c r="J231" s="5" t="b">
        <v>0</v>
      </c>
      <c r="K231" s="7">
        <v>0.0</v>
      </c>
      <c r="L231" s="8">
        <v>0.05617890418622278</v>
      </c>
      <c r="M231" s="9">
        <f t="shared" si="1"/>
        <v>0</v>
      </c>
      <c r="N231" s="7">
        <f t="shared" si="2"/>
        <v>0</v>
      </c>
      <c r="O231" s="9">
        <f t="shared" si="3"/>
        <v>0</v>
      </c>
      <c r="P231" s="9">
        <v>0.0</v>
      </c>
      <c r="Q231" s="9">
        <v>0.0</v>
      </c>
      <c r="R231" s="9">
        <v>0.0</v>
      </c>
      <c r="S231" s="9">
        <v>0.0</v>
      </c>
      <c r="T231" s="9">
        <v>0.0</v>
      </c>
      <c r="U231" s="9">
        <v>0.0</v>
      </c>
      <c r="V231" s="9">
        <v>0.0</v>
      </c>
      <c r="W231" s="9">
        <v>0.0</v>
      </c>
      <c r="X231" s="9">
        <v>0.0</v>
      </c>
      <c r="Y231" s="9">
        <v>0.0</v>
      </c>
      <c r="Z231" s="9">
        <v>0.0</v>
      </c>
      <c r="AA231" s="9">
        <v>0.0</v>
      </c>
      <c r="AB231" s="9">
        <v>0.0</v>
      </c>
      <c r="AC231" s="9">
        <v>0.0</v>
      </c>
      <c r="AD231" s="9">
        <v>0.0</v>
      </c>
      <c r="AE231" s="9">
        <v>0.0</v>
      </c>
      <c r="AF231" s="9">
        <v>0.0</v>
      </c>
      <c r="AG231" s="9">
        <v>0.0</v>
      </c>
      <c r="AH231" s="9">
        <v>0.0</v>
      </c>
      <c r="AI231" s="9">
        <v>0.0</v>
      </c>
      <c r="AJ231" s="9">
        <v>0.0</v>
      </c>
      <c r="AK231" s="9">
        <v>0.0</v>
      </c>
      <c r="AL231" s="9">
        <v>0.0</v>
      </c>
      <c r="AM231" s="9">
        <v>0.0</v>
      </c>
      <c r="AN231" s="9">
        <v>0.0</v>
      </c>
      <c r="AO231" s="9">
        <v>0.0</v>
      </c>
      <c r="AP231" s="9">
        <v>0.0</v>
      </c>
      <c r="AQ231" s="9">
        <v>0.0</v>
      </c>
      <c r="AR231" s="9">
        <v>0.0</v>
      </c>
      <c r="AS231" s="9">
        <v>0.0</v>
      </c>
      <c r="AT231" s="9">
        <v>0.0</v>
      </c>
      <c r="AU231" s="9">
        <v>0.0</v>
      </c>
      <c r="AV231" s="9">
        <v>0.0</v>
      </c>
      <c r="AW231" s="9">
        <v>0.0</v>
      </c>
    </row>
    <row r="232" ht="15.0" customHeight="1">
      <c r="A232" s="5" t="s">
        <v>524</v>
      </c>
      <c r="B232" s="5" t="s">
        <v>525</v>
      </c>
      <c r="C232" s="5" t="s">
        <v>141</v>
      </c>
      <c r="D232" s="5" t="s">
        <v>83</v>
      </c>
      <c r="E232" s="5">
        <v>5.0</v>
      </c>
      <c r="F232" s="6">
        <v>0.1212121212</v>
      </c>
      <c r="G232" s="5">
        <v>71.0</v>
      </c>
      <c r="H232" s="5">
        <v>622.0</v>
      </c>
      <c r="I232" s="5" t="b">
        <v>0</v>
      </c>
      <c r="J232" s="5" t="b">
        <v>0</v>
      </c>
      <c r="K232" s="7">
        <v>22.877575756912</v>
      </c>
      <c r="L232" s="8">
        <v>0.07620535551289777</v>
      </c>
      <c r="M232" s="9">
        <f t="shared" si="1"/>
        <v>1.288209572</v>
      </c>
      <c r="N232" s="7">
        <f t="shared" si="2"/>
        <v>43.79912546</v>
      </c>
      <c r="O232" s="9">
        <f t="shared" si="3"/>
        <v>8.759825091</v>
      </c>
      <c r="P232" s="9">
        <v>0.0</v>
      </c>
      <c r="Q232" s="9">
        <v>1.309176457116195</v>
      </c>
      <c r="R232" s="9">
        <v>1.240380185448471</v>
      </c>
      <c r="S232" s="9">
        <v>1.405798748098995</v>
      </c>
      <c r="T232" s="9">
        <v>1.277707128406329</v>
      </c>
      <c r="U232" s="9">
        <v>1.349216345444846</v>
      </c>
      <c r="V232" s="9">
        <v>1.42249555406692</v>
      </c>
      <c r="W232" s="9">
        <v>1.313455391732902</v>
      </c>
      <c r="X232" s="9">
        <v>1.327184062681766</v>
      </c>
      <c r="Y232" s="9">
        <v>1.277954726208907</v>
      </c>
      <c r="Z232" s="9">
        <v>1.370790120401248</v>
      </c>
      <c r="AA232" s="9">
        <v>1.252336891408087</v>
      </c>
      <c r="AB232" s="9">
        <v>1.351651069190281</v>
      </c>
      <c r="AC232" s="9">
        <v>1.412242897001147</v>
      </c>
      <c r="AD232" s="9">
        <v>1.331342286498517</v>
      </c>
      <c r="AE232" s="9">
        <v>1.286890819196467</v>
      </c>
      <c r="AF232" s="9">
        <v>1.321826914840775</v>
      </c>
      <c r="AG232" s="9">
        <v>1.439583619513898</v>
      </c>
      <c r="AH232" s="9">
        <v>1.264769042676046</v>
      </c>
      <c r="AI232" s="9">
        <v>1.297530861873346</v>
      </c>
      <c r="AJ232" s="9">
        <v>1.344734238199863</v>
      </c>
      <c r="AK232" s="9">
        <v>1.310636840364739</v>
      </c>
      <c r="AL232" s="9">
        <v>1.336377851440024</v>
      </c>
      <c r="AM232" s="9">
        <v>1.328674891928261</v>
      </c>
      <c r="AN232" s="9">
        <v>1.415793205391861</v>
      </c>
      <c r="AO232" s="9">
        <v>1.265371214212323</v>
      </c>
      <c r="AP232" s="9">
        <v>1.29472243686138</v>
      </c>
      <c r="AQ232" s="9">
        <v>1.283151434606262</v>
      </c>
      <c r="AR232" s="9">
        <v>1.391985706764434</v>
      </c>
      <c r="AS232" s="9">
        <v>1.323833315957992</v>
      </c>
      <c r="AT232" s="9">
        <v>1.386290434815391</v>
      </c>
      <c r="AU232" s="9">
        <v>1.22759635475282</v>
      </c>
      <c r="AV232" s="9">
        <v>1.403128223535053</v>
      </c>
      <c r="AW232" s="9">
        <v>1.234496185486566</v>
      </c>
    </row>
    <row r="233" ht="15.0" customHeight="1">
      <c r="A233" s="5" t="s">
        <v>526</v>
      </c>
      <c r="B233" s="5" t="s">
        <v>527</v>
      </c>
      <c r="C233" s="5" t="s">
        <v>141</v>
      </c>
      <c r="D233" s="5" t="s">
        <v>52</v>
      </c>
      <c r="E233" s="5">
        <v>4.5</v>
      </c>
      <c r="F233" s="6">
        <v>0.0</v>
      </c>
      <c r="G233" s="5"/>
      <c r="H233" s="5">
        <v>627.0</v>
      </c>
      <c r="I233" s="5" t="b">
        <v>0</v>
      </c>
      <c r="J233" s="5" t="b">
        <v>0</v>
      </c>
      <c r="K233" s="7">
        <v>0.0</v>
      </c>
      <c r="L233" s="8">
        <v>0.09675403267923868</v>
      </c>
      <c r="M233" s="9">
        <f t="shared" si="1"/>
        <v>0</v>
      </c>
      <c r="N233" s="7">
        <f t="shared" si="2"/>
        <v>0</v>
      </c>
      <c r="O233" s="9">
        <f t="shared" si="3"/>
        <v>0</v>
      </c>
      <c r="P233" s="9">
        <v>0.0</v>
      </c>
      <c r="Q233" s="9">
        <v>0.0</v>
      </c>
      <c r="R233" s="9">
        <v>0.0</v>
      </c>
      <c r="S233" s="9">
        <v>0.0</v>
      </c>
      <c r="T233" s="9">
        <v>0.0</v>
      </c>
      <c r="U233" s="9">
        <v>0.0</v>
      </c>
      <c r="V233" s="9">
        <v>0.0</v>
      </c>
      <c r="W233" s="9">
        <v>0.0</v>
      </c>
      <c r="X233" s="9">
        <v>0.0</v>
      </c>
      <c r="Y233" s="9">
        <v>0.0</v>
      </c>
      <c r="Z233" s="9">
        <v>0.0</v>
      </c>
      <c r="AA233" s="9">
        <v>0.0</v>
      </c>
      <c r="AB233" s="9">
        <v>0.0</v>
      </c>
      <c r="AC233" s="9">
        <v>0.0</v>
      </c>
      <c r="AD233" s="9">
        <v>0.0</v>
      </c>
      <c r="AE233" s="9">
        <v>0.0</v>
      </c>
      <c r="AF233" s="9">
        <v>0.0</v>
      </c>
      <c r="AG233" s="9">
        <v>0.0</v>
      </c>
      <c r="AH233" s="9">
        <v>0.0</v>
      </c>
      <c r="AI233" s="9">
        <v>0.0</v>
      </c>
      <c r="AJ233" s="9">
        <v>0.0</v>
      </c>
      <c r="AK233" s="9">
        <v>0.0</v>
      </c>
      <c r="AL233" s="9">
        <v>0.0</v>
      </c>
      <c r="AM233" s="9">
        <v>0.0</v>
      </c>
      <c r="AN233" s="9">
        <v>0.0</v>
      </c>
      <c r="AO233" s="9">
        <v>0.0</v>
      </c>
      <c r="AP233" s="9">
        <v>0.0</v>
      </c>
      <c r="AQ233" s="9">
        <v>0.0</v>
      </c>
      <c r="AR233" s="9">
        <v>0.0</v>
      </c>
      <c r="AS233" s="9">
        <v>0.0</v>
      </c>
      <c r="AT233" s="9">
        <v>0.0</v>
      </c>
      <c r="AU233" s="9">
        <v>0.0</v>
      </c>
      <c r="AV233" s="9">
        <v>0.0</v>
      </c>
      <c r="AW233" s="9">
        <v>0.0</v>
      </c>
    </row>
    <row r="234" ht="15.0" customHeight="1">
      <c r="A234" s="5" t="s">
        <v>528</v>
      </c>
      <c r="B234" s="5" t="s">
        <v>529</v>
      </c>
      <c r="C234" s="5" t="s">
        <v>141</v>
      </c>
      <c r="D234" s="5" t="s">
        <v>52</v>
      </c>
      <c r="E234" s="5">
        <v>5.0</v>
      </c>
      <c r="F234" s="6">
        <v>0.09090909091</v>
      </c>
      <c r="G234" s="5">
        <v>65.0</v>
      </c>
      <c r="H234" s="5">
        <v>388.0</v>
      </c>
      <c r="I234" s="5" t="b">
        <v>0</v>
      </c>
      <c r="J234" s="5" t="b">
        <v>0</v>
      </c>
      <c r="K234" s="7">
        <v>26.7727272727655</v>
      </c>
      <c r="L234" s="8">
        <v>0.05019273194998242</v>
      </c>
      <c r="M234" s="9">
        <f t="shared" si="1"/>
        <v>1.189049731</v>
      </c>
      <c r="N234" s="7">
        <f t="shared" si="2"/>
        <v>40.42769085</v>
      </c>
      <c r="O234" s="9">
        <f t="shared" si="3"/>
        <v>8.085538171</v>
      </c>
      <c r="P234" s="9">
        <v>1.18965198016845</v>
      </c>
      <c r="Q234" s="9">
        <v>1.173865994787606</v>
      </c>
      <c r="R234" s="9">
        <v>1.11612707609287</v>
      </c>
      <c r="S234" s="9">
        <v>1.254958566636558</v>
      </c>
      <c r="T234" s="9">
        <v>1.147454606965127</v>
      </c>
      <c r="U234" s="9">
        <v>1.207470430038403</v>
      </c>
      <c r="V234" s="9">
        <v>1.268971760940169</v>
      </c>
      <c r="W234" s="9">
        <v>1.177457193146834</v>
      </c>
      <c r="X234" s="9">
        <v>1.188979309047703</v>
      </c>
      <c r="Y234" s="9">
        <v>1.147662409351005</v>
      </c>
      <c r="Z234" s="9">
        <v>1.225576737370907</v>
      </c>
      <c r="AA234" s="9">
        <v>1.126162027937259</v>
      </c>
      <c r="AB234" s="9">
        <v>1.209513830254344</v>
      </c>
      <c r="AC234" s="9">
        <v>1.260366972942575</v>
      </c>
      <c r="AD234" s="9">
        <v>1.192469197976997</v>
      </c>
      <c r="AE234" s="9">
        <v>1.155162239413735</v>
      </c>
      <c r="AF234" s="9">
        <v>1.184483194416367</v>
      </c>
      <c r="AG234" s="9">
        <v>1.283313329132392</v>
      </c>
      <c r="AH234" s="9">
        <v>1.136596008643776</v>
      </c>
      <c r="AI234" s="9">
        <v>1.164092150063486</v>
      </c>
      <c r="AJ234" s="9">
        <v>1.20370871418483</v>
      </c>
      <c r="AK234" s="9">
        <v>1.175091656405695</v>
      </c>
      <c r="AL234" s="9">
        <v>1.196695416457905</v>
      </c>
      <c r="AM234" s="9">
        <v>1.190230523198768</v>
      </c>
      <c r="AN234" s="9">
        <v>1.263346654290755</v>
      </c>
      <c r="AO234" s="9">
        <v>1.13710139552784</v>
      </c>
      <c r="AP234" s="9">
        <v>1.161735112109317</v>
      </c>
      <c r="AQ234" s="9">
        <v>1.152023871336682</v>
      </c>
      <c r="AR234" s="9">
        <v>1.243365640868789</v>
      </c>
      <c r="AS234" s="9">
        <v>1.186167114608082</v>
      </c>
      <c r="AT234" s="9">
        <v>1.238585747481565</v>
      </c>
      <c r="AU234" s="9">
        <v>1.105397940003802</v>
      </c>
      <c r="AV234" s="9">
        <v>1.252717264936162</v>
      </c>
      <c r="AW234" s="9">
        <v>1.111188788200742</v>
      </c>
    </row>
    <row r="235" ht="15.0" customHeight="1">
      <c r="A235" s="5" t="s">
        <v>530</v>
      </c>
      <c r="B235" s="5" t="s">
        <v>531</v>
      </c>
      <c r="C235" s="5" t="s">
        <v>141</v>
      </c>
      <c r="D235" s="5" t="s">
        <v>56</v>
      </c>
      <c r="E235" s="5">
        <v>4.5</v>
      </c>
      <c r="F235" s="6"/>
      <c r="G235" s="10"/>
      <c r="H235" s="5">
        <v>964.0</v>
      </c>
      <c r="I235" s="5" t="b">
        <v>0</v>
      </c>
      <c r="J235" s="5" t="b">
        <v>0</v>
      </c>
      <c r="K235" s="7">
        <v>23.98</v>
      </c>
      <c r="L235" s="8">
        <v>0.1130670743304814</v>
      </c>
      <c r="M235" s="9">
        <f t="shared" si="1"/>
        <v>1.559088467</v>
      </c>
      <c r="N235" s="7">
        <f t="shared" si="2"/>
        <v>53.00900786</v>
      </c>
      <c r="O235" s="9">
        <f t="shared" si="3"/>
        <v>11.77977953</v>
      </c>
      <c r="P235" s="9">
        <v>1.56036327840733</v>
      </c>
      <c r="Q235" s="9">
        <v>1.526948268632168</v>
      </c>
      <c r="R235" s="9">
        <v>1.404729320239305</v>
      </c>
      <c r="S235" s="9">
        <v>1.698601099649856</v>
      </c>
      <c r="T235" s="9">
        <v>1.471041921263149</v>
      </c>
      <c r="U235" s="9">
        <v>1.598080510636951</v>
      </c>
      <c r="V235" s="9">
        <v>1.728263551080009</v>
      </c>
      <c r="W235" s="9">
        <v>1.534549943496491</v>
      </c>
      <c r="X235" s="9">
        <v>1.558939400737805</v>
      </c>
      <c r="Y235" s="9">
        <v>1.471481787295449</v>
      </c>
      <c r="Z235" s="9">
        <v>1.636407065610318</v>
      </c>
      <c r="AA235" s="9">
        <v>1.425970820588117</v>
      </c>
      <c r="AB235" s="9">
        <v>1.602405881308655</v>
      </c>
      <c r="AC235" s="9">
        <v>1.710049352338782</v>
      </c>
      <c r="AD235" s="9">
        <v>1.566326628704461</v>
      </c>
      <c r="AE235" s="9">
        <v>1.487357064562731</v>
      </c>
      <c r="AF235" s="9">
        <v>1.549422242908768</v>
      </c>
      <c r="AG235" s="9">
        <v>1.758621088463506</v>
      </c>
      <c r="AH235" s="9">
        <v>1.448056965918342</v>
      </c>
      <c r="AI235" s="9">
        <v>1.50625946719734</v>
      </c>
      <c r="AJ235" s="9">
        <v>1.590117892594048</v>
      </c>
      <c r="AK235" s="9">
        <v>1.52954268982042</v>
      </c>
      <c r="AL235" s="9">
        <v>1.575272483425882</v>
      </c>
      <c r="AM235" s="9">
        <v>1.561587910291055</v>
      </c>
      <c r="AN235" s="9">
        <v>1.71635659759299</v>
      </c>
      <c r="AO235" s="9">
        <v>1.449126744412608</v>
      </c>
      <c r="AP235" s="9">
        <v>1.501270203342164</v>
      </c>
      <c r="AQ235" s="9">
        <v>1.48071391892166</v>
      </c>
      <c r="AR235" s="9">
        <v>1.674061755509654</v>
      </c>
      <c r="AS235" s="9">
        <v>1.552986683664874</v>
      </c>
      <c r="AT235" s="9">
        <v>1.663943908545718</v>
      </c>
      <c r="AU235" s="9">
        <v>1.382018404281516</v>
      </c>
      <c r="AV235" s="9">
        <v>1.693856820694759</v>
      </c>
      <c r="AW235" s="9">
        <v>1.394276191454057</v>
      </c>
    </row>
    <row r="236" ht="15.0" customHeight="1">
      <c r="A236" s="5" t="s">
        <v>532</v>
      </c>
      <c r="B236" s="5" t="s">
        <v>533</v>
      </c>
      <c r="C236" s="5" t="s">
        <v>79</v>
      </c>
      <c r="D236" s="5" t="s">
        <v>83</v>
      </c>
      <c r="E236" s="5">
        <v>4.0</v>
      </c>
      <c r="F236" s="6"/>
      <c r="G236" s="5"/>
      <c r="H236" s="5">
        <v>1081.0</v>
      </c>
      <c r="I236" s="5" t="b">
        <v>0</v>
      </c>
      <c r="J236" s="5" t="b">
        <v>0</v>
      </c>
      <c r="K236" s="7">
        <v>16.24</v>
      </c>
      <c r="L236" s="8">
        <v>0.0767017732364894</v>
      </c>
      <c r="M236" s="9">
        <f t="shared" si="1"/>
        <v>1.103539</v>
      </c>
      <c r="N236" s="7">
        <f t="shared" si="2"/>
        <v>37.52032601</v>
      </c>
      <c r="O236" s="9">
        <f t="shared" si="3"/>
        <v>9.380081502</v>
      </c>
      <c r="P236" s="9">
        <v>1.095684332294371</v>
      </c>
      <c r="Q236" s="9">
        <v>1.118931534769676</v>
      </c>
      <c r="R236" s="9">
        <v>0.0</v>
      </c>
      <c r="S236" s="9">
        <v>1.102136680074252</v>
      </c>
      <c r="T236" s="9">
        <v>2.211443102541311</v>
      </c>
      <c r="U236" s="9">
        <v>1.112891324812194</v>
      </c>
      <c r="V236" s="9">
        <v>1.09761475772824</v>
      </c>
      <c r="W236" s="9">
        <v>1.102471414063739</v>
      </c>
      <c r="X236" s="9">
        <v>1.103164144608563</v>
      </c>
      <c r="Y236" s="9">
        <v>1.090543448504767</v>
      </c>
      <c r="Z236" s="9">
        <v>1.100740033459606</v>
      </c>
      <c r="AA236" s="9">
        <v>1.103030429311978</v>
      </c>
      <c r="AB236" s="9">
        <v>1.117221052866023</v>
      </c>
      <c r="AC236" s="9">
        <v>1.094817349656094</v>
      </c>
      <c r="AD236" s="9">
        <v>1.106706141931707</v>
      </c>
      <c r="AE236" s="9">
        <v>1.110305360302093</v>
      </c>
      <c r="AF236" s="9">
        <v>1.087567029374449</v>
      </c>
      <c r="AG236" s="9">
        <v>1.116145955941307</v>
      </c>
      <c r="AH236" s="9">
        <v>1.092718004148244</v>
      </c>
      <c r="AI236" s="9">
        <v>1.107112334285576</v>
      </c>
      <c r="AJ236" s="9">
        <v>1.115700424221034</v>
      </c>
      <c r="AK236" s="9">
        <v>1.088548674950944</v>
      </c>
      <c r="AL236" s="9">
        <v>1.113841484321356</v>
      </c>
      <c r="AM236" s="9">
        <v>1.100026165807364</v>
      </c>
      <c r="AN236" s="9">
        <v>1.1002698059782</v>
      </c>
      <c r="AO236" s="9">
        <v>1.103279148881082</v>
      </c>
      <c r="AP236" s="9">
        <v>1.121782388604734</v>
      </c>
      <c r="AQ236" s="9">
        <v>1.092617542042754</v>
      </c>
      <c r="AR236" s="9">
        <v>1.103724158415006</v>
      </c>
      <c r="AS236" s="9">
        <v>1.10595837837309</v>
      </c>
      <c r="AT236" s="9">
        <v>1.0980832957989</v>
      </c>
      <c r="AU236" s="9">
        <v>1.10437766841472</v>
      </c>
      <c r="AV236" s="9">
        <v>1.096308185177708</v>
      </c>
      <c r="AW236" s="9">
        <v>1.104564257001339</v>
      </c>
    </row>
    <row r="237" ht="15.0" customHeight="1">
      <c r="A237" s="5" t="s">
        <v>534</v>
      </c>
      <c r="B237" s="5" t="s">
        <v>535</v>
      </c>
      <c r="C237" s="5" t="s">
        <v>79</v>
      </c>
      <c r="D237" s="5" t="s">
        <v>83</v>
      </c>
      <c r="E237" s="5">
        <v>4.5</v>
      </c>
      <c r="F237" s="6"/>
      <c r="G237" s="10"/>
      <c r="H237" s="5">
        <v>1211.0</v>
      </c>
      <c r="I237" s="5" t="b">
        <v>0</v>
      </c>
      <c r="J237" s="5" t="b">
        <v>0</v>
      </c>
      <c r="K237" s="7">
        <v>16.24</v>
      </c>
      <c r="L237" s="8">
        <v>0.07332247967096338</v>
      </c>
      <c r="M237" s="9">
        <f t="shared" si="1"/>
        <v>1.142170332</v>
      </c>
      <c r="N237" s="7">
        <f t="shared" si="2"/>
        <v>38.83379128</v>
      </c>
      <c r="O237" s="9">
        <f t="shared" si="3"/>
        <v>8.629731395</v>
      </c>
      <c r="P237" s="9">
        <v>1.121513152920416</v>
      </c>
      <c r="Q237" s="9">
        <v>1.182651525510665</v>
      </c>
      <c r="R237" s="9">
        <v>0.0</v>
      </c>
      <c r="S237" s="9">
        <v>1.138482336333657</v>
      </c>
      <c r="T237" s="9">
        <v>2.2958205492939</v>
      </c>
      <c r="U237" s="9">
        <v>1.166766233192324</v>
      </c>
      <c r="V237" s="9">
        <v>1.126590024839046</v>
      </c>
      <c r="W237" s="9">
        <v>1.139362661241122</v>
      </c>
      <c r="X237" s="9">
        <v>1.141184489833148</v>
      </c>
      <c r="Y237" s="9">
        <v>1.107993019953627</v>
      </c>
      <c r="Z237" s="9">
        <v>1.134809262070473</v>
      </c>
      <c r="AA237" s="9">
        <v>1.140832828783509</v>
      </c>
      <c r="AB237" s="9">
        <v>1.17815308833116</v>
      </c>
      <c r="AC237" s="9">
        <v>1.119233054589248</v>
      </c>
      <c r="AD237" s="9">
        <v>1.150499673123957</v>
      </c>
      <c r="AE237" s="9">
        <v>1.159965343412505</v>
      </c>
      <c r="AF237" s="9">
        <v>1.100165264249799</v>
      </c>
      <c r="AG237" s="9">
        <v>1.175325665271387</v>
      </c>
      <c r="AH237" s="9">
        <v>1.113711935736736</v>
      </c>
      <c r="AI237" s="9">
        <v>1.151567928089282</v>
      </c>
      <c r="AJ237" s="9">
        <v>1.174153950767512</v>
      </c>
      <c r="AK237" s="9">
        <v>1.102746917378645</v>
      </c>
      <c r="AL237" s="9">
        <v>1.169265080361269</v>
      </c>
      <c r="AM237" s="9">
        <v>1.132931844495206</v>
      </c>
      <c r="AN237" s="9">
        <v>1.133572599595024</v>
      </c>
      <c r="AO237" s="9">
        <v>1.141486942314051</v>
      </c>
      <c r="AP237" s="9">
        <v>1.190149054047841</v>
      </c>
      <c r="AQ237" s="9">
        <v>1.113447728047953</v>
      </c>
      <c r="AR237" s="9">
        <v>1.142657283507585</v>
      </c>
      <c r="AS237" s="9">
        <v>1.148533111895583</v>
      </c>
      <c r="AT237" s="9">
        <v>1.127822244292856</v>
      </c>
      <c r="AU237" s="9">
        <v>1.144375965052016</v>
      </c>
      <c r="AV237" s="9">
        <v>1.123153838506712</v>
      </c>
      <c r="AW237" s="9">
        <v>1.144866678828951</v>
      </c>
    </row>
    <row r="238" ht="15.0" customHeight="1">
      <c r="A238" s="5" t="s">
        <v>536</v>
      </c>
      <c r="B238" s="5" t="s">
        <v>537</v>
      </c>
      <c r="C238" s="5" t="s">
        <v>79</v>
      </c>
      <c r="D238" s="5" t="s">
        <v>52</v>
      </c>
      <c r="E238" s="5">
        <v>5.0</v>
      </c>
      <c r="F238" s="6">
        <v>0.2272727273</v>
      </c>
      <c r="G238" s="10">
        <v>64.0</v>
      </c>
      <c r="H238" s="5">
        <v>516.0</v>
      </c>
      <c r="I238" s="5" t="b">
        <v>0</v>
      </c>
      <c r="J238" s="5" t="b">
        <v>0</v>
      </c>
      <c r="K238" s="7">
        <v>32.279545455665</v>
      </c>
      <c r="L238" s="8">
        <v>0.08955044592664169</v>
      </c>
      <c r="M238" s="9">
        <f t="shared" si="1"/>
        <v>1.422857895</v>
      </c>
      <c r="N238" s="7">
        <f t="shared" si="2"/>
        <v>48.37716842</v>
      </c>
      <c r="O238" s="9">
        <f t="shared" si="3"/>
        <v>9.675433684</v>
      </c>
      <c r="P238" s="9">
        <v>1.348772322409112</v>
      </c>
      <c r="Q238" s="9">
        <v>1.5680409547723</v>
      </c>
      <c r="R238" s="9">
        <v>0.0</v>
      </c>
      <c r="S238" s="9">
        <v>1.409631149389647</v>
      </c>
      <c r="T238" s="9">
        <v>2.886887623182838</v>
      </c>
      <c r="U238" s="9">
        <v>1.511069429791153</v>
      </c>
      <c r="V238" s="9">
        <v>1.366980179686272</v>
      </c>
      <c r="W238" s="9">
        <v>1.412788375045434</v>
      </c>
      <c r="X238" s="9">
        <v>1.419322239897397</v>
      </c>
      <c r="Y238" s="9">
        <v>1.300283281248909</v>
      </c>
      <c r="Z238" s="9">
        <v>1.396457917323845</v>
      </c>
      <c r="AA238" s="9">
        <v>1.418061031361044</v>
      </c>
      <c r="AB238" s="9">
        <v>1.551907614509345</v>
      </c>
      <c r="AC238" s="9">
        <v>1.340594904176548</v>
      </c>
      <c r="AD238" s="9">
        <v>1.452730513847986</v>
      </c>
      <c r="AE238" s="9">
        <v>1.486678499223408</v>
      </c>
      <c r="AF238" s="9">
        <v>1.272209565594836</v>
      </c>
      <c r="AG238" s="9">
        <v>1.541767253208209</v>
      </c>
      <c r="AH238" s="9">
        <v>1.320793785360078</v>
      </c>
      <c r="AI238" s="9">
        <v>1.456561737927696</v>
      </c>
      <c r="AJ238" s="9">
        <v>1.537564978500856</v>
      </c>
      <c r="AK238" s="9">
        <v>1.28146848968482</v>
      </c>
      <c r="AL238" s="9">
        <v>1.520031375914439</v>
      </c>
      <c r="AM238" s="9">
        <v>1.389724686348557</v>
      </c>
      <c r="AN238" s="9">
        <v>1.392022711115398</v>
      </c>
      <c r="AO238" s="9">
        <v>1.420406965234904</v>
      </c>
      <c r="AP238" s="9">
        <v>1.594930333059624</v>
      </c>
      <c r="AQ238" s="9">
        <v>1.319846222379175</v>
      </c>
      <c r="AR238" s="9">
        <v>1.424604314657735</v>
      </c>
      <c r="AS238" s="9">
        <v>1.445677575198572</v>
      </c>
      <c r="AT238" s="9">
        <v>1.371399451298535</v>
      </c>
      <c r="AU238" s="9">
        <v>1.430768249609699</v>
      </c>
      <c r="AV238" s="9">
        <v>1.35465653013993</v>
      </c>
      <c r="AW238" s="9">
        <v>1.432528161334393</v>
      </c>
    </row>
    <row r="239" ht="15.0" customHeight="1">
      <c r="A239" s="5" t="s">
        <v>538</v>
      </c>
      <c r="B239" s="5" t="s">
        <v>539</v>
      </c>
      <c r="C239" s="5" t="s">
        <v>79</v>
      </c>
      <c r="D239" s="5" t="s">
        <v>52</v>
      </c>
      <c r="E239" s="5">
        <v>5.5</v>
      </c>
      <c r="F239" s="6">
        <v>0.2105263158</v>
      </c>
      <c r="G239" s="5">
        <v>70.0</v>
      </c>
      <c r="H239" s="5">
        <v>411.0</v>
      </c>
      <c r="I239" s="5" t="b">
        <v>0</v>
      </c>
      <c r="J239" s="5" t="b">
        <v>0</v>
      </c>
      <c r="K239" s="7">
        <v>32.85526315839</v>
      </c>
      <c r="L239" s="8">
        <v>0.06631844393256922</v>
      </c>
      <c r="M239" s="9">
        <f t="shared" si="1"/>
        <v>1.496719109</v>
      </c>
      <c r="N239" s="7">
        <f t="shared" si="2"/>
        <v>50.88844971</v>
      </c>
      <c r="O239" s="9">
        <f t="shared" si="3"/>
        <v>9.252445403</v>
      </c>
      <c r="P239" s="9">
        <v>1.385207523335014</v>
      </c>
      <c r="Q239" s="9">
        <v>1.715244697240006</v>
      </c>
      <c r="R239" s="9">
        <v>0.0</v>
      </c>
      <c r="S239" s="9">
        <v>1.476810572286218</v>
      </c>
      <c r="T239" s="9">
        <v>3.055408941167007</v>
      </c>
      <c r="U239" s="9">
        <v>1.629492709392099</v>
      </c>
      <c r="V239" s="9">
        <v>1.412613494238621</v>
      </c>
      <c r="W239" s="9">
        <v>1.481562742359913</v>
      </c>
      <c r="X239" s="9">
        <v>1.49139733779282</v>
      </c>
      <c r="Y239" s="9">
        <v>1.312223139123736</v>
      </c>
      <c r="Z239" s="9">
        <v>1.456982582138541</v>
      </c>
      <c r="AA239" s="9">
        <v>1.48949900105146</v>
      </c>
      <c r="AB239" s="9">
        <v>1.690961232849104</v>
      </c>
      <c r="AC239" s="9">
        <v>1.372899096113904</v>
      </c>
      <c r="AD239" s="9">
        <v>1.541682561907473</v>
      </c>
      <c r="AE239" s="9">
        <v>1.592780144960366</v>
      </c>
      <c r="AF239" s="9">
        <v>1.269967346876462</v>
      </c>
      <c r="AG239" s="9">
        <v>1.675698237179668</v>
      </c>
      <c r="AH239" s="9">
        <v>1.343094991331966</v>
      </c>
      <c r="AI239" s="9">
        <v>1.547449216053287</v>
      </c>
      <c r="AJ239" s="9">
        <v>1.669373087734261</v>
      </c>
      <c r="AK239" s="9">
        <v>1.283903627260597</v>
      </c>
      <c r="AL239" s="9">
        <v>1.642981986628611</v>
      </c>
      <c r="AM239" s="9">
        <v>1.44684790624631</v>
      </c>
      <c r="AN239" s="9">
        <v>1.450306830541306</v>
      </c>
      <c r="AO239" s="9">
        <v>1.493030036829594</v>
      </c>
      <c r="AP239" s="9">
        <v>1.75571785713691</v>
      </c>
      <c r="AQ239" s="9">
        <v>1.341668745338895</v>
      </c>
      <c r="AR239" s="9">
        <v>1.499347772870873</v>
      </c>
      <c r="AS239" s="9">
        <v>1.531066670731018</v>
      </c>
      <c r="AT239" s="9">
        <v>1.419265261515639</v>
      </c>
      <c r="AU239" s="9">
        <v>1.508625559892916</v>
      </c>
      <c r="AV239" s="9">
        <v>1.394064272561836</v>
      </c>
      <c r="AW239" s="9">
        <v>1.511274531091761</v>
      </c>
    </row>
    <row r="240" ht="15.0" customHeight="1">
      <c r="A240" s="5" t="s">
        <v>540</v>
      </c>
      <c r="B240" s="5" t="s">
        <v>541</v>
      </c>
      <c r="C240" s="5" t="s">
        <v>79</v>
      </c>
      <c r="D240" s="5" t="s">
        <v>52</v>
      </c>
      <c r="E240" s="5">
        <v>5.0</v>
      </c>
      <c r="F240" s="6"/>
      <c r="G240" s="10"/>
      <c r="H240" s="5">
        <v>2096.0</v>
      </c>
      <c r="I240" s="5" t="b">
        <v>0</v>
      </c>
      <c r="J240" s="5" t="b">
        <v>0</v>
      </c>
      <c r="K240" s="7">
        <v>22.95</v>
      </c>
      <c r="L240" s="8">
        <v>0.06667226633108425</v>
      </c>
      <c r="M240" s="9">
        <f t="shared" si="1"/>
        <v>1.279088417</v>
      </c>
      <c r="N240" s="7">
        <f t="shared" si="2"/>
        <v>43.48900618</v>
      </c>
      <c r="O240" s="9">
        <f t="shared" si="3"/>
        <v>8.697801236</v>
      </c>
      <c r="P240" s="9">
        <v>1.235182405755819</v>
      </c>
      <c r="Q240" s="9">
        <v>1.365129583617546</v>
      </c>
      <c r="R240" s="9">
        <v>0.0</v>
      </c>
      <c r="S240" s="9">
        <v>1.271249729790551</v>
      </c>
      <c r="T240" s="9">
        <v>2.582576874957455</v>
      </c>
      <c r="U240" s="9">
        <v>1.331366026970207</v>
      </c>
      <c r="V240" s="9">
        <v>1.245973094978329</v>
      </c>
      <c r="W240" s="9">
        <v>1.273120825347724</v>
      </c>
      <c r="X240" s="9">
        <v>1.276993049518102</v>
      </c>
      <c r="Y240" s="9">
        <v>1.206445901185696</v>
      </c>
      <c r="Z240" s="9">
        <v>1.263442756618788</v>
      </c>
      <c r="AA240" s="9">
        <v>1.276245607951892</v>
      </c>
      <c r="AB240" s="9">
        <v>1.355568334413503</v>
      </c>
      <c r="AC240" s="9">
        <v>1.230336147492318</v>
      </c>
      <c r="AD240" s="9">
        <v>1.29679210089322</v>
      </c>
      <c r="AE240" s="9">
        <v>1.316911006393211</v>
      </c>
      <c r="AF240" s="9">
        <v>1.189808317952647</v>
      </c>
      <c r="AG240" s="9">
        <v>1.349558759220831</v>
      </c>
      <c r="AH240" s="9">
        <v>1.218601229091208</v>
      </c>
      <c r="AI240" s="9">
        <v>1.299062634309461</v>
      </c>
      <c r="AJ240" s="9">
        <v>1.347068326672706</v>
      </c>
      <c r="AK240" s="9">
        <v>1.195295518937859</v>
      </c>
      <c r="AL240" s="9">
        <v>1.336677227183017</v>
      </c>
      <c r="AM240" s="9">
        <v>1.259452380276765</v>
      </c>
      <c r="AN240" s="9">
        <v>1.260814279741768</v>
      </c>
      <c r="AO240" s="9">
        <v>1.277635900229784</v>
      </c>
      <c r="AP240" s="9">
        <v>1.381065282149684</v>
      </c>
      <c r="AQ240" s="9">
        <v>1.21803966616318</v>
      </c>
      <c r="AR240" s="9">
        <v>1.280123413861433</v>
      </c>
      <c r="AS240" s="9">
        <v>1.292612253264102</v>
      </c>
      <c r="AT240" s="9">
        <v>1.24859212838967</v>
      </c>
      <c r="AU240" s="9">
        <v>1.283776403087016</v>
      </c>
      <c r="AV240" s="9">
        <v>1.238669617676334</v>
      </c>
      <c r="AW240" s="9">
        <v>1.284819395691315</v>
      </c>
    </row>
    <row r="241" ht="15.0" customHeight="1">
      <c r="A241" s="5" t="s">
        <v>542</v>
      </c>
      <c r="B241" s="5" t="s">
        <v>543</v>
      </c>
      <c r="C241" s="5" t="s">
        <v>79</v>
      </c>
      <c r="D241" s="5" t="s">
        <v>52</v>
      </c>
      <c r="E241" s="5">
        <v>5.5</v>
      </c>
      <c r="F241" s="6">
        <v>0.08823529412</v>
      </c>
      <c r="G241" s="5">
        <v>62.0</v>
      </c>
      <c r="H241" s="5">
        <v>714.0</v>
      </c>
      <c r="I241" s="5" t="b">
        <v>0</v>
      </c>
      <c r="J241" s="5" t="b">
        <v>0</v>
      </c>
      <c r="K241" s="7">
        <v>26.395588235386</v>
      </c>
      <c r="L241" s="8">
        <v>0.1015342586147098</v>
      </c>
      <c r="M241" s="9">
        <f t="shared" si="1"/>
        <v>1.559734872</v>
      </c>
      <c r="N241" s="7">
        <f t="shared" si="2"/>
        <v>53.03098565</v>
      </c>
      <c r="O241" s="9">
        <f t="shared" si="3"/>
        <v>9.641997391</v>
      </c>
      <c r="P241" s="9">
        <v>1.467028764222802</v>
      </c>
      <c r="Q241" s="9">
        <v>1.741407983366406</v>
      </c>
      <c r="R241" s="9">
        <v>0.0</v>
      </c>
      <c r="S241" s="9">
        <v>1.543183740176026</v>
      </c>
      <c r="T241" s="9">
        <v>3.170989633115989</v>
      </c>
      <c r="U241" s="9">
        <v>1.670117336960332</v>
      </c>
      <c r="V241" s="9">
        <v>1.489812951856673</v>
      </c>
      <c r="W241" s="9">
        <v>1.547134497294172</v>
      </c>
      <c r="X241" s="9">
        <v>1.555310572078558</v>
      </c>
      <c r="Y241" s="9">
        <v>1.406352573984511</v>
      </c>
      <c r="Z241" s="9">
        <v>1.52669957147001</v>
      </c>
      <c r="AA241" s="9">
        <v>1.553732373639263</v>
      </c>
      <c r="AB241" s="9">
        <v>1.721219718151181</v>
      </c>
      <c r="AC241" s="9">
        <v>1.456796048284002</v>
      </c>
      <c r="AD241" s="9">
        <v>1.597115621987909</v>
      </c>
      <c r="AE241" s="9">
        <v>1.639596033428513</v>
      </c>
      <c r="AF241" s="9">
        <v>1.371222860734576</v>
      </c>
      <c r="AG241" s="9">
        <v>1.708530696535763</v>
      </c>
      <c r="AH241" s="9">
        <v>1.432018151598654</v>
      </c>
      <c r="AI241" s="9">
        <v>1.601909779091119</v>
      </c>
      <c r="AJ241" s="9">
        <v>1.703272229602286</v>
      </c>
      <c r="AK241" s="9">
        <v>1.382808906283087</v>
      </c>
      <c r="AL241" s="9">
        <v>1.681331762629943</v>
      </c>
      <c r="AM241" s="9">
        <v>1.518274022236624</v>
      </c>
      <c r="AN241" s="9">
        <v>1.521149628447612</v>
      </c>
      <c r="AO241" s="9">
        <v>1.556667930346737</v>
      </c>
      <c r="AP241" s="9">
        <v>1.775055690009245</v>
      </c>
      <c r="AQ241" s="9">
        <v>1.430832429829026</v>
      </c>
      <c r="AR241" s="9">
        <v>1.561920234083468</v>
      </c>
      <c r="AS241" s="9">
        <v>1.588290010324091</v>
      </c>
      <c r="AT241" s="9">
        <v>1.495342955309916</v>
      </c>
      <c r="AU241" s="9">
        <v>1.569633401446917</v>
      </c>
      <c r="AV241" s="9">
        <v>1.474391898224505</v>
      </c>
      <c r="AW241" s="9">
        <v>1.57183564624399</v>
      </c>
    </row>
    <row r="242" ht="15.0" customHeight="1">
      <c r="A242" s="5" t="s">
        <v>544</v>
      </c>
      <c r="B242" s="5" t="s">
        <v>545</v>
      </c>
      <c r="C242" s="5" t="s">
        <v>79</v>
      </c>
      <c r="D242" s="5" t="s">
        <v>52</v>
      </c>
      <c r="E242" s="5">
        <v>4.5</v>
      </c>
      <c r="F242" s="6"/>
      <c r="G242" s="10"/>
      <c r="H242" s="5">
        <v>2968.0</v>
      </c>
      <c r="I242" s="5" t="b">
        <v>0</v>
      </c>
      <c r="J242" s="5" t="b">
        <v>0</v>
      </c>
      <c r="K242" s="7">
        <v>22.95</v>
      </c>
      <c r="L242" s="8">
        <v>0.05101997516710843</v>
      </c>
      <c r="M242" s="9">
        <f t="shared" si="1"/>
        <v>1.052482988</v>
      </c>
      <c r="N242" s="7">
        <f t="shared" si="2"/>
        <v>35.78442159</v>
      </c>
      <c r="O242" s="9">
        <f t="shared" si="3"/>
        <v>7.952093688</v>
      </c>
      <c r="P242" s="9">
        <v>1.046251123347802</v>
      </c>
      <c r="Q242" s="9">
        <v>1.064695368447058</v>
      </c>
      <c r="R242" s="9">
        <v>0.0</v>
      </c>
      <c r="S242" s="9">
        <v>1.051370392388633</v>
      </c>
      <c r="T242" s="9">
        <v>2.10842923207031</v>
      </c>
      <c r="U242" s="9">
        <v>1.059903088041487</v>
      </c>
      <c r="V242" s="9">
        <v>1.047782715800096</v>
      </c>
      <c r="W242" s="9">
        <v>1.051635969107024</v>
      </c>
      <c r="X242" s="9">
        <v>1.05218557897815</v>
      </c>
      <c r="Y242" s="9">
        <v>1.042172365022237</v>
      </c>
      <c r="Z242" s="9">
        <v>1.050262298091914</v>
      </c>
      <c r="AA242" s="9">
        <v>1.052079489752732</v>
      </c>
      <c r="AB242" s="9">
        <v>1.063338278384186</v>
      </c>
      <c r="AC242" s="9">
        <v>1.045563262505442</v>
      </c>
      <c r="AD242" s="9">
        <v>1.054995786651024</v>
      </c>
      <c r="AE242" s="9">
        <v>1.057851393292712</v>
      </c>
      <c r="AF242" s="9">
        <v>1.039810885011212</v>
      </c>
      <c r="AG242" s="9">
        <v>1.062485300430991</v>
      </c>
      <c r="AH242" s="9">
        <v>1.043897649486588</v>
      </c>
      <c r="AI242" s="9">
        <v>1.055318058173379</v>
      </c>
      <c r="AJ242" s="9">
        <v>1.062131817199753</v>
      </c>
      <c r="AK242" s="9">
        <v>1.040589719007805</v>
      </c>
      <c r="AL242" s="9">
        <v>1.060656941107849</v>
      </c>
      <c r="AM242" s="9">
        <v>1.049695918117362</v>
      </c>
      <c r="AN242" s="9">
        <v>1.049889221334456</v>
      </c>
      <c r="AO242" s="9">
        <v>1.052276822945765</v>
      </c>
      <c r="AP242" s="9">
        <v>1.066957225413798</v>
      </c>
      <c r="AQ242" s="9">
        <v>1.043817943220906</v>
      </c>
      <c r="AR242" s="9">
        <v>1.05262989187627</v>
      </c>
      <c r="AS242" s="9">
        <v>1.054402513788792</v>
      </c>
      <c r="AT242" s="9">
        <v>1.04815445218527</v>
      </c>
      <c r="AU242" s="9">
        <v>1.053148384310891</v>
      </c>
      <c r="AV242" s="9">
        <v>1.046746085935166</v>
      </c>
      <c r="AW242" s="9">
        <v>1.053296423010514</v>
      </c>
    </row>
    <row r="243" ht="15.0" customHeight="1">
      <c r="A243" s="5" t="s">
        <v>546</v>
      </c>
      <c r="B243" s="5" t="s">
        <v>547</v>
      </c>
      <c r="C243" s="5" t="s">
        <v>79</v>
      </c>
      <c r="D243" s="5" t="s">
        <v>52</v>
      </c>
      <c r="E243" s="5">
        <v>5.0</v>
      </c>
      <c r="F243" s="6"/>
      <c r="G243" s="5"/>
      <c r="H243" s="5">
        <v>537.0</v>
      </c>
      <c r="I243" s="5" t="b">
        <v>0</v>
      </c>
      <c r="J243" s="5" t="b">
        <v>0</v>
      </c>
      <c r="K243" s="7">
        <v>22.95</v>
      </c>
      <c r="L243" s="8">
        <v>0.04759691973542407</v>
      </c>
      <c r="M243" s="9">
        <f t="shared" si="1"/>
        <v>1.300012329</v>
      </c>
      <c r="N243" s="7">
        <f t="shared" si="2"/>
        <v>44.2004192</v>
      </c>
      <c r="O243" s="9">
        <f t="shared" si="3"/>
        <v>8.84008384</v>
      </c>
      <c r="P243" s="9">
        <v>1.253230025096322</v>
      </c>
      <c r="Q243" s="9">
        <v>1.391690072859574</v>
      </c>
      <c r="R243" s="9">
        <v>0.0</v>
      </c>
      <c r="S243" s="9">
        <v>1.291660127932841</v>
      </c>
      <c r="T243" s="9">
        <v>2.62602315206203</v>
      </c>
      <c r="U243" s="9">
        <v>1.355714657748811</v>
      </c>
      <c r="V243" s="9">
        <v>1.264727614884205</v>
      </c>
      <c r="W243" s="9">
        <v>1.293653799395961</v>
      </c>
      <c r="X243" s="9">
        <v>1.297779693874031</v>
      </c>
      <c r="Y243" s="9">
        <v>1.222610985415737</v>
      </c>
      <c r="Z243" s="9">
        <v>1.283341718129445</v>
      </c>
      <c r="AA243" s="9">
        <v>1.296983287236653</v>
      </c>
      <c r="AB243" s="9">
        <v>1.381502463992248</v>
      </c>
      <c r="AC243" s="9">
        <v>1.248066287324722</v>
      </c>
      <c r="AD243" s="9">
        <v>1.318875785718233</v>
      </c>
      <c r="AE243" s="9">
        <v>1.340312685405561</v>
      </c>
      <c r="AF243" s="9">
        <v>1.204883470228264</v>
      </c>
      <c r="AG243" s="9">
        <v>1.375099200128375</v>
      </c>
      <c r="AH243" s="9">
        <v>1.235562611684728</v>
      </c>
      <c r="AI243" s="9">
        <v>1.321295062307644</v>
      </c>
      <c r="AJ243" s="9">
        <v>1.372445618763711</v>
      </c>
      <c r="AK243" s="9">
        <v>1.210730139028624</v>
      </c>
      <c r="AL243" s="9">
        <v>1.361373795925158</v>
      </c>
      <c r="AM243" s="9">
        <v>1.279089931303433</v>
      </c>
      <c r="AN243" s="9">
        <v>1.280541049119733</v>
      </c>
      <c r="AO243" s="9">
        <v>1.29846465788563</v>
      </c>
      <c r="AP243" s="9">
        <v>1.40866972271583</v>
      </c>
      <c r="AQ243" s="9">
        <v>1.234964260638432</v>
      </c>
      <c r="AR243" s="9">
        <v>1.301115129114919</v>
      </c>
      <c r="AS243" s="9">
        <v>1.31442211529696</v>
      </c>
      <c r="AT243" s="9">
        <v>1.267518221784599</v>
      </c>
      <c r="AU243" s="9">
        <v>1.305007426515876</v>
      </c>
      <c r="AV243" s="9">
        <v>1.256945685082326</v>
      </c>
      <c r="AW243" s="9">
        <v>1.306118745808717</v>
      </c>
    </row>
    <row r="244" ht="15.0" customHeight="1">
      <c r="A244" s="5" t="s">
        <v>548</v>
      </c>
      <c r="B244" s="5" t="s">
        <v>549</v>
      </c>
      <c r="C244" s="5" t="s">
        <v>79</v>
      </c>
      <c r="D244" s="5" t="s">
        <v>56</v>
      </c>
      <c r="E244" s="5">
        <v>5.0</v>
      </c>
      <c r="F244" s="6">
        <v>0.0</v>
      </c>
      <c r="G244" s="10"/>
      <c r="H244" s="5">
        <v>90.0</v>
      </c>
      <c r="I244" s="5" t="b">
        <v>0</v>
      </c>
      <c r="J244" s="5" t="b">
        <v>0</v>
      </c>
      <c r="K244" s="7">
        <v>0.0</v>
      </c>
      <c r="L244" s="8">
        <v>0.1413663553752995</v>
      </c>
      <c r="M244" s="9">
        <f t="shared" si="1"/>
        <v>0</v>
      </c>
      <c r="N244" s="7">
        <f t="shared" si="2"/>
        <v>0</v>
      </c>
      <c r="O244" s="9">
        <f t="shared" si="3"/>
        <v>0</v>
      </c>
      <c r="P244" s="9">
        <v>0.0</v>
      </c>
      <c r="Q244" s="9">
        <v>0.0</v>
      </c>
      <c r="R244" s="9">
        <v>0.0</v>
      </c>
      <c r="S244" s="9">
        <v>0.0</v>
      </c>
      <c r="T244" s="9">
        <v>0.0</v>
      </c>
      <c r="U244" s="9">
        <v>0.0</v>
      </c>
      <c r="V244" s="9">
        <v>0.0</v>
      </c>
      <c r="W244" s="9">
        <v>0.0</v>
      </c>
      <c r="X244" s="9">
        <v>0.0</v>
      </c>
      <c r="Y244" s="9">
        <v>0.0</v>
      </c>
      <c r="Z244" s="9">
        <v>0.0</v>
      </c>
      <c r="AA244" s="9">
        <v>0.0</v>
      </c>
      <c r="AB244" s="9">
        <v>0.0</v>
      </c>
      <c r="AC244" s="9">
        <v>0.0</v>
      </c>
      <c r="AD244" s="9">
        <v>0.0</v>
      </c>
      <c r="AE244" s="9">
        <v>0.0</v>
      </c>
      <c r="AF244" s="9">
        <v>0.0</v>
      </c>
      <c r="AG244" s="9">
        <v>0.0</v>
      </c>
      <c r="AH244" s="9">
        <v>0.0</v>
      </c>
      <c r="AI244" s="9">
        <v>0.0</v>
      </c>
      <c r="AJ244" s="9">
        <v>0.0</v>
      </c>
      <c r="AK244" s="9">
        <v>0.0</v>
      </c>
      <c r="AL244" s="9">
        <v>0.0</v>
      </c>
      <c r="AM244" s="9">
        <v>0.0</v>
      </c>
      <c r="AN244" s="9">
        <v>0.0</v>
      </c>
      <c r="AO244" s="9">
        <v>0.0</v>
      </c>
      <c r="AP244" s="9">
        <v>0.0</v>
      </c>
      <c r="AQ244" s="9">
        <v>0.0</v>
      </c>
      <c r="AR244" s="9">
        <v>0.0</v>
      </c>
      <c r="AS244" s="9">
        <v>0.0</v>
      </c>
      <c r="AT244" s="9">
        <v>0.0</v>
      </c>
      <c r="AU244" s="9">
        <v>0.0</v>
      </c>
      <c r="AV244" s="9">
        <v>0.0</v>
      </c>
      <c r="AW244" s="9">
        <v>0.0</v>
      </c>
    </row>
    <row r="245" ht="15.0" customHeight="1">
      <c r="A245" s="5" t="s">
        <v>550</v>
      </c>
      <c r="B245" s="5" t="s">
        <v>157</v>
      </c>
      <c r="C245" s="5" t="s">
        <v>124</v>
      </c>
      <c r="D245" s="5" t="s">
        <v>103</v>
      </c>
      <c r="E245" s="5">
        <v>4.5</v>
      </c>
      <c r="F245" s="6">
        <v>0.03448275862</v>
      </c>
      <c r="G245" s="5">
        <v>90.0</v>
      </c>
      <c r="H245" s="5">
        <v>151.0</v>
      </c>
      <c r="I245" s="5" t="b">
        <v>0</v>
      </c>
      <c r="J245" s="5" t="b">
        <v>0</v>
      </c>
      <c r="K245" s="7">
        <v>3.1034482758</v>
      </c>
      <c r="L245" s="8">
        <v>0.07506562293787296</v>
      </c>
      <c r="M245" s="9">
        <f t="shared" si="1"/>
        <v>1.026801489</v>
      </c>
      <c r="N245" s="7">
        <f t="shared" si="2"/>
        <v>34.91125064</v>
      </c>
      <c r="O245" s="9">
        <f t="shared" si="3"/>
        <v>7.758055698</v>
      </c>
      <c r="P245" s="9">
        <v>1.026801489422402</v>
      </c>
      <c r="Q245" s="9">
        <v>1.026801489422402</v>
      </c>
      <c r="R245" s="9">
        <v>1.026801489422402</v>
      </c>
      <c r="S245" s="9">
        <v>1.026801489422402</v>
      </c>
      <c r="T245" s="9">
        <v>1.026801489422402</v>
      </c>
      <c r="U245" s="9">
        <v>1.026801489422402</v>
      </c>
      <c r="V245" s="9">
        <v>1.026801489422402</v>
      </c>
      <c r="W245" s="9">
        <v>1.026801489422402</v>
      </c>
      <c r="X245" s="9">
        <v>1.026801489422402</v>
      </c>
      <c r="Y245" s="9">
        <v>1.026801489422402</v>
      </c>
      <c r="Z245" s="9">
        <v>1.026801489422402</v>
      </c>
      <c r="AA245" s="9">
        <v>1.026801489422402</v>
      </c>
      <c r="AB245" s="9">
        <v>1.026801489422402</v>
      </c>
      <c r="AC245" s="9">
        <v>1.026801489422402</v>
      </c>
      <c r="AD245" s="9">
        <v>1.026801489422402</v>
      </c>
      <c r="AE245" s="9">
        <v>1.026801489422402</v>
      </c>
      <c r="AF245" s="9">
        <v>1.026801489422402</v>
      </c>
      <c r="AG245" s="9">
        <v>1.026801489422402</v>
      </c>
      <c r="AH245" s="9">
        <v>1.026801489422402</v>
      </c>
      <c r="AI245" s="9">
        <v>1.026801489422402</v>
      </c>
      <c r="AJ245" s="9">
        <v>1.026801489422402</v>
      </c>
      <c r="AK245" s="9">
        <v>1.026801489422402</v>
      </c>
      <c r="AL245" s="9">
        <v>1.026801489422402</v>
      </c>
      <c r="AM245" s="9">
        <v>1.026801489422402</v>
      </c>
      <c r="AN245" s="9">
        <v>1.026801489422402</v>
      </c>
      <c r="AO245" s="9">
        <v>1.026801489422402</v>
      </c>
      <c r="AP245" s="9">
        <v>1.026801489422402</v>
      </c>
      <c r="AQ245" s="9">
        <v>1.026801489422402</v>
      </c>
      <c r="AR245" s="9">
        <v>1.026801489422402</v>
      </c>
      <c r="AS245" s="9">
        <v>1.026801489422402</v>
      </c>
      <c r="AT245" s="9">
        <v>1.026801489422402</v>
      </c>
      <c r="AU245" s="9">
        <v>1.026801489422402</v>
      </c>
      <c r="AV245" s="9">
        <v>1.026801489422402</v>
      </c>
      <c r="AW245" s="9">
        <v>1.026801489422402</v>
      </c>
    </row>
    <row r="246" ht="15.0" customHeight="1">
      <c r="A246" s="5" t="s">
        <v>551</v>
      </c>
      <c r="B246" s="5" t="s">
        <v>552</v>
      </c>
      <c r="C246" s="5" t="s">
        <v>124</v>
      </c>
      <c r="D246" s="5" t="s">
        <v>103</v>
      </c>
      <c r="E246" s="5">
        <v>4.0</v>
      </c>
      <c r="F246" s="6"/>
      <c r="G246" s="5"/>
      <c r="H246" s="5">
        <v>2107.0</v>
      </c>
      <c r="I246" s="5" t="b">
        <v>0</v>
      </c>
      <c r="J246" s="5" t="b">
        <v>0</v>
      </c>
      <c r="K246" s="7">
        <v>0.0</v>
      </c>
      <c r="L246" s="8">
        <v>0.07119629961215863</v>
      </c>
      <c r="M246" s="9">
        <f t="shared" si="1"/>
        <v>0</v>
      </c>
      <c r="N246" s="7">
        <f t="shared" si="2"/>
        <v>0</v>
      </c>
      <c r="O246" s="9">
        <f t="shared" si="3"/>
        <v>0</v>
      </c>
      <c r="P246" s="9">
        <v>0.0</v>
      </c>
      <c r="Q246" s="9">
        <v>0.0</v>
      </c>
      <c r="R246" s="9">
        <v>0.0</v>
      </c>
      <c r="S246" s="9">
        <v>0.0</v>
      </c>
      <c r="T246" s="9">
        <v>0.0</v>
      </c>
      <c r="U246" s="9">
        <v>0.0</v>
      </c>
      <c r="V246" s="9">
        <v>0.0</v>
      </c>
      <c r="W246" s="9">
        <v>0.0</v>
      </c>
      <c r="X246" s="9">
        <v>0.0</v>
      </c>
      <c r="Y246" s="9">
        <v>0.0</v>
      </c>
      <c r="Z246" s="9">
        <v>0.0</v>
      </c>
      <c r="AA246" s="9">
        <v>0.0</v>
      </c>
      <c r="AB246" s="9">
        <v>0.0</v>
      </c>
      <c r="AC246" s="9">
        <v>0.0</v>
      </c>
      <c r="AD246" s="9">
        <v>0.0</v>
      </c>
      <c r="AE246" s="9">
        <v>0.0</v>
      </c>
      <c r="AF246" s="9">
        <v>0.0</v>
      </c>
      <c r="AG246" s="9">
        <v>0.0</v>
      </c>
      <c r="AH246" s="9">
        <v>0.0</v>
      </c>
      <c r="AI246" s="9">
        <v>0.0</v>
      </c>
      <c r="AJ246" s="9">
        <v>0.0</v>
      </c>
      <c r="AK246" s="9">
        <v>0.0</v>
      </c>
      <c r="AL246" s="9">
        <v>0.0</v>
      </c>
      <c r="AM246" s="9">
        <v>0.0</v>
      </c>
      <c r="AN246" s="9">
        <v>0.0</v>
      </c>
      <c r="AO246" s="9">
        <v>0.0</v>
      </c>
      <c r="AP246" s="9">
        <v>0.0</v>
      </c>
      <c r="AQ246" s="9">
        <v>0.0</v>
      </c>
      <c r="AR246" s="9">
        <v>0.0</v>
      </c>
      <c r="AS246" s="9">
        <v>0.0</v>
      </c>
      <c r="AT246" s="9">
        <v>0.0</v>
      </c>
      <c r="AU246" s="9">
        <v>0.0</v>
      </c>
      <c r="AV246" s="9">
        <v>0.0</v>
      </c>
      <c r="AW246" s="9">
        <v>0.0</v>
      </c>
    </row>
    <row r="247" ht="15.0" customHeight="1">
      <c r="A247" s="5" t="s">
        <v>553</v>
      </c>
      <c r="B247" s="5" t="s">
        <v>554</v>
      </c>
      <c r="C247" s="5" t="s">
        <v>124</v>
      </c>
      <c r="D247" s="5" t="s">
        <v>103</v>
      </c>
      <c r="E247" s="5">
        <v>4.0</v>
      </c>
      <c r="F247" s="6"/>
      <c r="G247" s="5"/>
      <c r="H247" s="5">
        <v>1343.0</v>
      </c>
      <c r="I247" s="5" t="b">
        <v>0</v>
      </c>
      <c r="J247" s="5" t="b">
        <v>0</v>
      </c>
      <c r="K247" s="7">
        <v>0.0</v>
      </c>
      <c r="L247" s="8">
        <v>0.07515862939982786</v>
      </c>
      <c r="M247" s="9">
        <f t="shared" si="1"/>
        <v>0</v>
      </c>
      <c r="N247" s="7">
        <f t="shared" si="2"/>
        <v>0</v>
      </c>
      <c r="O247" s="9">
        <f t="shared" si="3"/>
        <v>0</v>
      </c>
      <c r="P247" s="9">
        <v>0.0</v>
      </c>
      <c r="Q247" s="9">
        <v>0.0</v>
      </c>
      <c r="R247" s="9">
        <v>0.0</v>
      </c>
      <c r="S247" s="9">
        <v>0.0</v>
      </c>
      <c r="T247" s="9">
        <v>0.0</v>
      </c>
      <c r="U247" s="9">
        <v>0.0</v>
      </c>
      <c r="V247" s="9">
        <v>0.0</v>
      </c>
      <c r="W247" s="9">
        <v>0.0</v>
      </c>
      <c r="X247" s="9">
        <v>0.0</v>
      </c>
      <c r="Y247" s="9">
        <v>0.0</v>
      </c>
      <c r="Z247" s="9">
        <v>0.0</v>
      </c>
      <c r="AA247" s="9">
        <v>0.0</v>
      </c>
      <c r="AB247" s="9">
        <v>0.0</v>
      </c>
      <c r="AC247" s="9">
        <v>0.0</v>
      </c>
      <c r="AD247" s="9">
        <v>0.0</v>
      </c>
      <c r="AE247" s="9">
        <v>0.0</v>
      </c>
      <c r="AF247" s="9">
        <v>0.0</v>
      </c>
      <c r="AG247" s="9">
        <v>0.0</v>
      </c>
      <c r="AH247" s="9">
        <v>0.0</v>
      </c>
      <c r="AI247" s="9">
        <v>0.0</v>
      </c>
      <c r="AJ247" s="9">
        <v>0.0</v>
      </c>
      <c r="AK247" s="9">
        <v>0.0</v>
      </c>
      <c r="AL247" s="9">
        <v>0.0</v>
      </c>
      <c r="AM247" s="9">
        <v>0.0</v>
      </c>
      <c r="AN247" s="9">
        <v>0.0</v>
      </c>
      <c r="AO247" s="9">
        <v>0.0</v>
      </c>
      <c r="AP247" s="9">
        <v>0.0</v>
      </c>
      <c r="AQ247" s="9">
        <v>0.0</v>
      </c>
      <c r="AR247" s="9">
        <v>0.0</v>
      </c>
      <c r="AS247" s="9">
        <v>0.0</v>
      </c>
      <c r="AT247" s="9">
        <v>0.0</v>
      </c>
      <c r="AU247" s="9">
        <v>0.0</v>
      </c>
      <c r="AV247" s="9">
        <v>0.0</v>
      </c>
      <c r="AW247" s="9">
        <v>0.0</v>
      </c>
    </row>
    <row r="248" ht="15.0" customHeight="1">
      <c r="A248" s="5" t="s">
        <v>555</v>
      </c>
      <c r="B248" s="5" t="s">
        <v>556</v>
      </c>
      <c r="C248" s="5" t="s">
        <v>124</v>
      </c>
      <c r="D248" s="5" t="s">
        <v>83</v>
      </c>
      <c r="E248" s="5">
        <v>5.0</v>
      </c>
      <c r="F248" s="6">
        <v>0.5555555556</v>
      </c>
      <c r="G248" s="10">
        <v>80.0</v>
      </c>
      <c r="H248" s="5">
        <v>1565.0</v>
      </c>
      <c r="I248" s="5" t="b">
        <v>1</v>
      </c>
      <c r="J248" s="5" t="b">
        <v>0</v>
      </c>
      <c r="K248" s="7">
        <v>51.662222225056</v>
      </c>
      <c r="L248" s="8">
        <v>0.05133778909058913</v>
      </c>
      <c r="M248" s="9">
        <f t="shared" si="1"/>
        <v>2.579023274</v>
      </c>
      <c r="N248" s="7">
        <f t="shared" si="2"/>
        <v>87.68679133</v>
      </c>
      <c r="O248" s="9">
        <f t="shared" si="3"/>
        <v>17.53735827</v>
      </c>
      <c r="P248" s="9">
        <v>2.047795767584374</v>
      </c>
      <c r="Q248" s="9">
        <v>2.515076559064635</v>
      </c>
      <c r="R248" s="9">
        <v>2.461197589605373</v>
      </c>
      <c r="S248" s="9">
        <v>2.16454679510288</v>
      </c>
      <c r="T248" s="9">
        <v>3.164854712262011</v>
      </c>
      <c r="U248" s="9">
        <v>2.518833941148077</v>
      </c>
      <c r="V248" s="9">
        <v>1.886652526741233</v>
      </c>
      <c r="W248" s="9">
        <v>3.394932621278083</v>
      </c>
      <c r="X248" s="9">
        <v>1.956100648625028</v>
      </c>
      <c r="Y248" s="9">
        <v>3.165061050615266</v>
      </c>
      <c r="Z248" s="9">
        <v>2.327156523690769</v>
      </c>
      <c r="AA248" s="9">
        <v>2.521348614284915</v>
      </c>
      <c r="AB248" s="9">
        <v>3.378434826913459</v>
      </c>
      <c r="AC248" s="9">
        <v>2.783115942350068</v>
      </c>
      <c r="AD248" s="9">
        <v>2.115043380298286</v>
      </c>
      <c r="AE248" s="9">
        <v>3.162938895871887</v>
      </c>
      <c r="AF248" s="9">
        <v>2.596168220548946</v>
      </c>
      <c r="AG248" s="9">
        <v>2.597216265288599</v>
      </c>
      <c r="AH248" s="9">
        <v>2.406984893646544</v>
      </c>
      <c r="AI248" s="9">
        <v>2.04158429833731</v>
      </c>
      <c r="AJ248" s="9">
        <v>3.072219247472701</v>
      </c>
      <c r="AK248" s="9">
        <v>2.81103106382309</v>
      </c>
      <c r="AL248" s="9">
        <v>3.343948287059519</v>
      </c>
      <c r="AM248" s="9">
        <v>2.600341737135622</v>
      </c>
      <c r="AN248" s="9">
        <v>1.766662725592624</v>
      </c>
      <c r="AO248" s="9">
        <v>2.526215298404602</v>
      </c>
      <c r="AP248" s="9">
        <v>3.00402070834393</v>
      </c>
      <c r="AQ248" s="9">
        <v>2.823986988776765</v>
      </c>
      <c r="AR248" s="9">
        <v>2.605034481018682</v>
      </c>
      <c r="AS248" s="9">
        <v>2.591902711896574</v>
      </c>
      <c r="AT248" s="9">
        <v>2.103977467550833</v>
      </c>
      <c r="AU248" s="9">
        <v>2.321594790265918</v>
      </c>
      <c r="AV248" s="9">
        <v>2.868102345226596</v>
      </c>
      <c r="AW248" s="9">
        <v>2.042709400970517</v>
      </c>
    </row>
    <row r="249" ht="15.0" customHeight="1">
      <c r="A249" s="5" t="s">
        <v>557</v>
      </c>
      <c r="B249" s="5" t="s">
        <v>558</v>
      </c>
      <c r="C249" s="5" t="s">
        <v>124</v>
      </c>
      <c r="D249" s="5" t="s">
        <v>83</v>
      </c>
      <c r="E249" s="5">
        <v>5.0</v>
      </c>
      <c r="F249" s="6">
        <v>0.2857142857</v>
      </c>
      <c r="G249" s="10">
        <v>53.0</v>
      </c>
      <c r="H249" s="5">
        <v>516.0</v>
      </c>
      <c r="I249" s="5" t="b">
        <v>0</v>
      </c>
      <c r="J249" s="5" t="b">
        <v>0</v>
      </c>
      <c r="K249" s="7">
        <v>26.742857142332</v>
      </c>
      <c r="L249" s="8">
        <v>0.05700099145845712</v>
      </c>
      <c r="M249" s="9">
        <f t="shared" si="1"/>
        <v>1.063003744</v>
      </c>
      <c r="N249" s="7">
        <f t="shared" si="2"/>
        <v>36.14212729</v>
      </c>
      <c r="O249" s="9">
        <f t="shared" si="3"/>
        <v>7.228425457</v>
      </c>
      <c r="P249" s="9">
        <v>1.049584500116042</v>
      </c>
      <c r="Q249" s="9">
        <v>1.058986507043056</v>
      </c>
      <c r="R249" s="9">
        <v>1.055890515699711</v>
      </c>
      <c r="S249" s="9">
        <v>1.055227088735353</v>
      </c>
      <c r="T249" s="9">
        <v>1.089447270599186</v>
      </c>
      <c r="U249" s="9">
        <v>1.059652326130302</v>
      </c>
      <c r="V249" s="9">
        <v>1.040999997410504</v>
      </c>
      <c r="W249" s="9">
        <v>1.082988642555819</v>
      </c>
      <c r="X249" s="9">
        <v>1.039370068272725</v>
      </c>
      <c r="Y249" s="9">
        <v>1.085410601171329</v>
      </c>
      <c r="Z249" s="9">
        <v>1.063877700938451</v>
      </c>
      <c r="AA249" s="9">
        <v>1.067041246992269</v>
      </c>
      <c r="AB249" s="9">
        <v>1.080835506857711</v>
      </c>
      <c r="AC249" s="9">
        <v>1.058641524491892</v>
      </c>
      <c r="AD249" s="9">
        <v>1.048151276031822</v>
      </c>
      <c r="AE249" s="9">
        <v>1.081466357956512</v>
      </c>
      <c r="AF249" s="9">
        <v>1.068675192056636</v>
      </c>
      <c r="AG249" s="9">
        <v>1.065067239398169</v>
      </c>
      <c r="AH249" s="9">
        <v>1.051207606503196</v>
      </c>
      <c r="AI249" s="9">
        <v>1.045214461147681</v>
      </c>
      <c r="AJ249" s="9">
        <v>1.078203338989622</v>
      </c>
      <c r="AK249" s="9">
        <v>1.061629909344681</v>
      </c>
      <c r="AL249" s="9">
        <v>1.076857959652717</v>
      </c>
      <c r="AM249" s="9">
        <v>1.062103876282309</v>
      </c>
      <c r="AN249" s="9">
        <v>1.04238995947692</v>
      </c>
      <c r="AO249" s="9">
        <v>1.064803039096515</v>
      </c>
      <c r="AP249" s="9">
        <v>1.073196360537715</v>
      </c>
      <c r="AQ249" s="9">
        <v>1.063247589229949</v>
      </c>
      <c r="AR249" s="9">
        <v>1.06289541449957</v>
      </c>
      <c r="AS249" s="9">
        <v>1.068100043574265</v>
      </c>
      <c r="AT249" s="9">
        <v>1.052493700851404</v>
      </c>
      <c r="AU249" s="9">
        <v>1.053377045984949</v>
      </c>
      <c r="AV249" s="9">
        <v>1.083827322708626</v>
      </c>
      <c r="AW249" s="9">
        <v>1.051266095890609</v>
      </c>
    </row>
    <row r="250" ht="15.0" customHeight="1">
      <c r="A250" s="5" t="s">
        <v>559</v>
      </c>
      <c r="B250" s="5" t="s">
        <v>560</v>
      </c>
      <c r="C250" s="5" t="s">
        <v>124</v>
      </c>
      <c r="D250" s="5" t="s">
        <v>83</v>
      </c>
      <c r="E250" s="5">
        <v>4.5</v>
      </c>
      <c r="F250" s="6">
        <v>0.0</v>
      </c>
      <c r="G250" s="10"/>
      <c r="H250" s="5">
        <v>382.0</v>
      </c>
      <c r="I250" s="5" t="b">
        <v>0</v>
      </c>
      <c r="J250" s="5" t="b">
        <v>0</v>
      </c>
      <c r="K250" s="7">
        <v>0.0</v>
      </c>
      <c r="L250" s="8">
        <v>0.08352737041345525</v>
      </c>
      <c r="M250" s="9">
        <f t="shared" si="1"/>
        <v>0</v>
      </c>
      <c r="N250" s="7">
        <f t="shared" si="2"/>
        <v>0</v>
      </c>
      <c r="O250" s="9">
        <f t="shared" si="3"/>
        <v>0</v>
      </c>
      <c r="P250" s="9">
        <v>0.0</v>
      </c>
      <c r="Q250" s="9">
        <v>0.0</v>
      </c>
      <c r="R250" s="9">
        <v>0.0</v>
      </c>
      <c r="S250" s="9">
        <v>0.0</v>
      </c>
      <c r="T250" s="9">
        <v>0.0</v>
      </c>
      <c r="U250" s="9">
        <v>0.0</v>
      </c>
      <c r="V250" s="9">
        <v>0.0</v>
      </c>
      <c r="W250" s="9">
        <v>0.0</v>
      </c>
      <c r="X250" s="9">
        <v>0.0</v>
      </c>
      <c r="Y250" s="9">
        <v>0.0</v>
      </c>
      <c r="Z250" s="9">
        <v>0.0</v>
      </c>
      <c r="AA250" s="9">
        <v>0.0</v>
      </c>
      <c r="AB250" s="9">
        <v>0.0</v>
      </c>
      <c r="AC250" s="9">
        <v>0.0</v>
      </c>
      <c r="AD250" s="9">
        <v>0.0</v>
      </c>
      <c r="AE250" s="9">
        <v>0.0</v>
      </c>
      <c r="AF250" s="9">
        <v>0.0</v>
      </c>
      <c r="AG250" s="9">
        <v>0.0</v>
      </c>
      <c r="AH250" s="9">
        <v>0.0</v>
      </c>
      <c r="AI250" s="9">
        <v>0.0</v>
      </c>
      <c r="AJ250" s="9">
        <v>0.0</v>
      </c>
      <c r="AK250" s="9">
        <v>0.0</v>
      </c>
      <c r="AL250" s="9">
        <v>0.0</v>
      </c>
      <c r="AM250" s="9">
        <v>0.0</v>
      </c>
      <c r="AN250" s="9">
        <v>0.0</v>
      </c>
      <c r="AO250" s="9">
        <v>0.0</v>
      </c>
      <c r="AP250" s="9">
        <v>0.0</v>
      </c>
      <c r="AQ250" s="9">
        <v>0.0</v>
      </c>
      <c r="AR250" s="9">
        <v>0.0</v>
      </c>
      <c r="AS250" s="9">
        <v>0.0</v>
      </c>
      <c r="AT250" s="9">
        <v>0.0</v>
      </c>
      <c r="AU250" s="9">
        <v>0.0</v>
      </c>
      <c r="AV250" s="9">
        <v>0.0</v>
      </c>
      <c r="AW250" s="9">
        <v>0.0</v>
      </c>
    </row>
    <row r="251" ht="15.0" customHeight="1">
      <c r="A251" s="5" t="s">
        <v>561</v>
      </c>
      <c r="B251" s="5" t="s">
        <v>562</v>
      </c>
      <c r="C251" s="5" t="s">
        <v>124</v>
      </c>
      <c r="D251" s="5" t="s">
        <v>83</v>
      </c>
      <c r="E251" s="5">
        <v>5.5</v>
      </c>
      <c r="F251" s="6"/>
      <c r="G251" s="5"/>
      <c r="H251" s="5">
        <v>1642.0</v>
      </c>
      <c r="I251" s="5" t="b">
        <v>0</v>
      </c>
      <c r="J251" s="5" t="b">
        <v>0</v>
      </c>
      <c r="K251" s="7">
        <v>16.24</v>
      </c>
      <c r="L251" s="8">
        <v>0.08136066404754523</v>
      </c>
      <c r="M251" s="9">
        <f t="shared" si="1"/>
        <v>1.354639219</v>
      </c>
      <c r="N251" s="7">
        <f t="shared" si="2"/>
        <v>46.05773344</v>
      </c>
      <c r="O251" s="9">
        <f t="shared" si="3"/>
        <v>8.374133353</v>
      </c>
      <c r="P251" s="9">
        <v>1.283199697137082</v>
      </c>
      <c r="Q251" s="9">
        <v>1.333252807351344</v>
      </c>
      <c r="R251" s="9">
        <v>1.316770794826378</v>
      </c>
      <c r="S251" s="9">
        <v>1.313238933679724</v>
      </c>
      <c r="T251" s="9">
        <v>1.495415627196208</v>
      </c>
      <c r="U251" s="9">
        <v>1.336797403352538</v>
      </c>
      <c r="V251" s="9">
        <v>1.237498703360919</v>
      </c>
      <c r="W251" s="9">
        <v>1.461032072302332</v>
      </c>
      <c r="X251" s="9">
        <v>1.228821510990395</v>
      </c>
      <c r="Y251" s="9">
        <v>1.473925762177011</v>
      </c>
      <c r="Z251" s="9">
        <v>1.359291872098479</v>
      </c>
      <c r="AA251" s="9">
        <v>1.376133523091595</v>
      </c>
      <c r="AB251" s="9">
        <v>1.449569504869629</v>
      </c>
      <c r="AC251" s="9">
        <v>1.331416236735152</v>
      </c>
      <c r="AD251" s="9">
        <v>1.275569696052626</v>
      </c>
      <c r="AE251" s="9">
        <v>1.45292794310757</v>
      </c>
      <c r="AF251" s="9">
        <v>1.384832094899263</v>
      </c>
      <c r="AG251" s="9">
        <v>1.365624573200551</v>
      </c>
      <c r="AH251" s="9">
        <v>1.291840567487037</v>
      </c>
      <c r="AI251" s="9">
        <v>1.259935085249218</v>
      </c>
      <c r="AJ251" s="9">
        <v>1.435556731913105</v>
      </c>
      <c r="AK251" s="9">
        <v>1.347325388638613</v>
      </c>
      <c r="AL251" s="9">
        <v>1.428394386601852</v>
      </c>
      <c r="AM251" s="9">
        <v>1.3498486285757</v>
      </c>
      <c r="AN251" s="9">
        <v>1.244898392070365</v>
      </c>
      <c r="AO251" s="9">
        <v>1.364218060003956</v>
      </c>
      <c r="AP251" s="9">
        <v>1.408901269282716</v>
      </c>
      <c r="AQ251" s="9">
        <v>1.355937370124829</v>
      </c>
      <c r="AR251" s="9">
        <v>1.354062510774995</v>
      </c>
      <c r="AS251" s="9">
        <v>1.38177019858275</v>
      </c>
      <c r="AT251" s="9">
        <v>1.298687299536534</v>
      </c>
      <c r="AU251" s="9">
        <v>1.303389930758759</v>
      </c>
      <c r="AV251" s="9">
        <v>1.465496922248612</v>
      </c>
      <c r="AW251" s="9">
        <v>1.292151945236202</v>
      </c>
    </row>
    <row r="252" ht="15.0" customHeight="1">
      <c r="A252" s="5" t="s">
        <v>563</v>
      </c>
      <c r="B252" s="5" t="s">
        <v>564</v>
      </c>
      <c r="C252" s="5" t="s">
        <v>124</v>
      </c>
      <c r="D252" s="5" t="s">
        <v>83</v>
      </c>
      <c r="E252" s="5">
        <v>4.5</v>
      </c>
      <c r="F252" s="6"/>
      <c r="G252" s="5"/>
      <c r="H252" s="5">
        <v>2406.0</v>
      </c>
      <c r="I252" s="5" t="b">
        <v>0</v>
      </c>
      <c r="J252" s="5" t="b">
        <v>0</v>
      </c>
      <c r="K252" s="7">
        <v>16.24</v>
      </c>
      <c r="L252" s="8">
        <v>0.0722346876617793</v>
      </c>
      <c r="M252" s="9">
        <f t="shared" si="1"/>
        <v>1.066462655</v>
      </c>
      <c r="N252" s="7">
        <f t="shared" si="2"/>
        <v>36.25973028</v>
      </c>
      <c r="O252" s="9">
        <f t="shared" si="3"/>
        <v>8.05771784</v>
      </c>
      <c r="P252" s="9">
        <v>1.061209880193534</v>
      </c>
      <c r="Q252" s="9">
        <v>1.064890164252264</v>
      </c>
      <c r="R252" s="9">
        <v>1.063678281760012</v>
      </c>
      <c r="S252" s="9">
        <v>1.063418592557482</v>
      </c>
      <c r="T252" s="9">
        <v>1.076813603939409</v>
      </c>
      <c r="U252" s="9">
        <v>1.065150789817828</v>
      </c>
      <c r="V252" s="9">
        <v>1.057849596723784</v>
      </c>
      <c r="W252" s="9">
        <v>1.074285464360934</v>
      </c>
      <c r="X252" s="9">
        <v>1.057211583768764</v>
      </c>
      <c r="Y252" s="9">
        <v>1.075233506172939</v>
      </c>
      <c r="Z252" s="9">
        <v>1.066804753665047</v>
      </c>
      <c r="AA252" s="9">
        <v>1.068043079503488</v>
      </c>
      <c r="AB252" s="9">
        <v>1.073442649518578</v>
      </c>
      <c r="AC252" s="9">
        <v>1.064755125659605</v>
      </c>
      <c r="AD252" s="9">
        <v>1.060648864679433</v>
      </c>
      <c r="AE252" s="9">
        <v>1.073689587354337</v>
      </c>
      <c r="AF252" s="9">
        <v>1.068682664436781</v>
      </c>
      <c r="AG252" s="9">
        <v>1.067270381851086</v>
      </c>
      <c r="AH252" s="9">
        <v>1.061845222478286</v>
      </c>
      <c r="AI252" s="9">
        <v>1.05949928958494</v>
      </c>
      <c r="AJ252" s="9">
        <v>1.072412324235898</v>
      </c>
      <c r="AK252" s="9">
        <v>1.065924887096759</v>
      </c>
      <c r="AL252" s="9">
        <v>1.07188569431901</v>
      </c>
      <c r="AM252" s="9">
        <v>1.066110414822749</v>
      </c>
      <c r="AN252" s="9">
        <v>1.058393677926338</v>
      </c>
      <c r="AO252" s="9">
        <v>1.067166964339693</v>
      </c>
      <c r="AP252" s="9">
        <v>1.070452412578525</v>
      </c>
      <c r="AQ252" s="9">
        <v>1.066558105253275</v>
      </c>
      <c r="AR252" s="9">
        <v>1.066420251382696</v>
      </c>
      <c r="AS252" s="9">
        <v>1.068457530610833</v>
      </c>
      <c r="AT252" s="9">
        <v>1.062348646115864</v>
      </c>
      <c r="AU252" s="9">
        <v>1.062694419208628</v>
      </c>
      <c r="AV252" s="9">
        <v>1.074613753971941</v>
      </c>
      <c r="AW252" s="9">
        <v>1.061868117330606</v>
      </c>
    </row>
    <row r="253" ht="15.0" customHeight="1">
      <c r="A253" s="5" t="s">
        <v>565</v>
      </c>
      <c r="B253" s="5" t="s">
        <v>566</v>
      </c>
      <c r="C253" s="5" t="s">
        <v>124</v>
      </c>
      <c r="D253" s="5" t="s">
        <v>52</v>
      </c>
      <c r="E253" s="5">
        <v>5.0</v>
      </c>
      <c r="F253" s="6">
        <v>0.3333333333</v>
      </c>
      <c r="G253" s="5">
        <v>62.0</v>
      </c>
      <c r="H253" s="5">
        <v>538.0</v>
      </c>
      <c r="I253" s="5" t="b">
        <v>0</v>
      </c>
      <c r="J253" s="5" t="b">
        <v>0</v>
      </c>
      <c r="K253" s="7">
        <v>35.966666665365</v>
      </c>
      <c r="L253" s="8">
        <v>0.06456438365273218</v>
      </c>
      <c r="M253" s="9">
        <f t="shared" si="1"/>
        <v>0.9630756902</v>
      </c>
      <c r="N253" s="7">
        <f t="shared" si="2"/>
        <v>32.74457347</v>
      </c>
      <c r="O253" s="9">
        <f t="shared" si="3"/>
        <v>6.548914693</v>
      </c>
      <c r="P253" s="9">
        <v>0.9379835835362587</v>
      </c>
      <c r="Q253" s="9">
        <v>0.955564020077474</v>
      </c>
      <c r="R253" s="9">
        <v>0.9497749497474525</v>
      </c>
      <c r="S253" s="9">
        <v>0.948534434213146</v>
      </c>
      <c r="T253" s="9">
        <v>1.01252138299505</v>
      </c>
      <c r="U253" s="9">
        <v>0.9568090085466516</v>
      </c>
      <c r="V253" s="9">
        <v>0.9219317654271937</v>
      </c>
      <c r="W253" s="9">
        <v>1.000444652852096</v>
      </c>
      <c r="X253" s="9">
        <v>0.9188840261523936</v>
      </c>
      <c r="Y253" s="9">
        <v>1.004973376355063</v>
      </c>
      <c r="Z253" s="9">
        <v>0.9647098678263947</v>
      </c>
      <c r="AA253" s="9">
        <v>0.9706252560063965</v>
      </c>
      <c r="AB253" s="9">
        <v>0.9964185905657085</v>
      </c>
      <c r="AC253" s="9">
        <v>0.954918951009174</v>
      </c>
      <c r="AD253" s="9">
        <v>0.9353036551701597</v>
      </c>
      <c r="AE253" s="9">
        <v>0.9975981937925003</v>
      </c>
      <c r="AF253" s="9">
        <v>0.9736805045016308</v>
      </c>
      <c r="AG253" s="9">
        <v>0.9669341381940681</v>
      </c>
      <c r="AH253" s="9">
        <v>0.9410185652226707</v>
      </c>
      <c r="AI253" s="9">
        <v>0.9298122225319218</v>
      </c>
      <c r="AJ253" s="9">
        <v>0.9914968051926503</v>
      </c>
      <c r="AK253" s="9">
        <v>0.9605068122682661</v>
      </c>
      <c r="AL253" s="9">
        <v>0.9889811342045391</v>
      </c>
      <c r="AM253" s="9">
        <v>0.9613930640796388</v>
      </c>
      <c r="AN253" s="9">
        <v>0.9245307998772866</v>
      </c>
      <c r="AO253" s="9">
        <v>0.9664401206217079</v>
      </c>
      <c r="AP253" s="9">
        <v>0.9821344565345089</v>
      </c>
      <c r="AQ253" s="9">
        <v>0.9635316471559372</v>
      </c>
      <c r="AR253" s="9">
        <v>0.9628731297195108</v>
      </c>
      <c r="AS253" s="9">
        <v>0.9726050573684196</v>
      </c>
      <c r="AT253" s="9">
        <v>0.9434233815826455</v>
      </c>
      <c r="AU253" s="9">
        <v>0.9450751133017168</v>
      </c>
      <c r="AV253" s="9">
        <v>1.00201286731091</v>
      </c>
      <c r="AW253" s="9">
        <v>0.9411279321878022</v>
      </c>
    </row>
    <row r="254" ht="15.0" customHeight="1">
      <c r="A254" s="5" t="s">
        <v>567</v>
      </c>
      <c r="B254" s="5" t="s">
        <v>568</v>
      </c>
      <c r="C254" s="5" t="s">
        <v>124</v>
      </c>
      <c r="D254" s="5" t="s">
        <v>52</v>
      </c>
      <c r="E254" s="5">
        <v>4.5</v>
      </c>
      <c r="F254" s="6">
        <v>0.0</v>
      </c>
      <c r="G254" s="5"/>
      <c r="H254" s="5">
        <v>1325.0</v>
      </c>
      <c r="I254" s="5" t="b">
        <v>0</v>
      </c>
      <c r="J254" s="5" t="b">
        <v>0</v>
      </c>
      <c r="K254" s="7">
        <v>0.0</v>
      </c>
      <c r="L254" s="8">
        <v>0.07000250644778719</v>
      </c>
      <c r="M254" s="9">
        <f t="shared" si="1"/>
        <v>0</v>
      </c>
      <c r="N254" s="7">
        <f t="shared" si="2"/>
        <v>0</v>
      </c>
      <c r="O254" s="9">
        <f t="shared" si="3"/>
        <v>0</v>
      </c>
      <c r="P254" s="9">
        <v>0.0</v>
      </c>
      <c r="Q254" s="9">
        <v>0.0</v>
      </c>
      <c r="R254" s="9">
        <v>0.0</v>
      </c>
      <c r="S254" s="9">
        <v>0.0</v>
      </c>
      <c r="T254" s="9">
        <v>0.0</v>
      </c>
      <c r="U254" s="9">
        <v>0.0</v>
      </c>
      <c r="V254" s="9">
        <v>0.0</v>
      </c>
      <c r="W254" s="9">
        <v>0.0</v>
      </c>
      <c r="X254" s="9">
        <v>0.0</v>
      </c>
      <c r="Y254" s="9">
        <v>0.0</v>
      </c>
      <c r="Z254" s="9">
        <v>0.0</v>
      </c>
      <c r="AA254" s="9">
        <v>0.0</v>
      </c>
      <c r="AB254" s="9">
        <v>0.0</v>
      </c>
      <c r="AC254" s="9">
        <v>0.0</v>
      </c>
      <c r="AD254" s="9">
        <v>0.0</v>
      </c>
      <c r="AE254" s="9">
        <v>0.0</v>
      </c>
      <c r="AF254" s="9">
        <v>0.0</v>
      </c>
      <c r="AG254" s="9">
        <v>0.0</v>
      </c>
      <c r="AH254" s="9">
        <v>0.0</v>
      </c>
      <c r="AI254" s="9">
        <v>0.0</v>
      </c>
      <c r="AJ254" s="9">
        <v>0.0</v>
      </c>
      <c r="AK254" s="9">
        <v>0.0</v>
      </c>
      <c r="AL254" s="9">
        <v>0.0</v>
      </c>
      <c r="AM254" s="9">
        <v>0.0</v>
      </c>
      <c r="AN254" s="9">
        <v>0.0</v>
      </c>
      <c r="AO254" s="9">
        <v>0.0</v>
      </c>
      <c r="AP254" s="9">
        <v>0.0</v>
      </c>
      <c r="AQ254" s="9">
        <v>0.0</v>
      </c>
      <c r="AR254" s="9">
        <v>0.0</v>
      </c>
      <c r="AS254" s="9">
        <v>0.0</v>
      </c>
      <c r="AT254" s="9">
        <v>0.0</v>
      </c>
      <c r="AU254" s="9">
        <v>0.0</v>
      </c>
      <c r="AV254" s="9">
        <v>0.0</v>
      </c>
      <c r="AW254" s="9">
        <v>0.0</v>
      </c>
    </row>
    <row r="255" ht="15.0" customHeight="1">
      <c r="A255" s="5" t="s">
        <v>569</v>
      </c>
      <c r="B255" s="5" t="s">
        <v>570</v>
      </c>
      <c r="C255" s="5" t="s">
        <v>571</v>
      </c>
      <c r="D255" s="5" t="s">
        <v>52</v>
      </c>
      <c r="E255" s="5">
        <v>4.5</v>
      </c>
      <c r="F255" s="6"/>
      <c r="G255" s="10"/>
      <c r="H255" s="5">
        <v>1900.0</v>
      </c>
      <c r="I255" s="5" t="b">
        <v>0</v>
      </c>
      <c r="J255" s="5" t="b">
        <v>0</v>
      </c>
      <c r="K255" s="7">
        <v>22.95</v>
      </c>
      <c r="L255" s="8">
        <v>0.05369678326210162</v>
      </c>
      <c r="M255" s="9">
        <f t="shared" si="1"/>
        <v>1.482493947</v>
      </c>
      <c r="N255" s="7">
        <f t="shared" si="2"/>
        <v>50.4047942</v>
      </c>
      <c r="O255" s="9">
        <f t="shared" si="3"/>
        <v>11.20106538</v>
      </c>
      <c r="P255" s="9">
        <v>1.614709661070141</v>
      </c>
      <c r="Q255" s="9">
        <v>1.482612594407301</v>
      </c>
      <c r="R255" s="9">
        <v>1.411008423230703</v>
      </c>
      <c r="S255" s="9">
        <v>1.393208040879316</v>
      </c>
      <c r="T255" s="9">
        <v>1.497166933152044</v>
      </c>
      <c r="U255" s="9">
        <v>1.523124020140561</v>
      </c>
      <c r="V255" s="9">
        <v>1.454203788251236</v>
      </c>
      <c r="W255" s="9">
        <v>1.50692716826474</v>
      </c>
      <c r="X255" s="9">
        <v>1.45703439097923</v>
      </c>
      <c r="Y255" s="9">
        <v>1.49199682841773</v>
      </c>
      <c r="Z255" s="9">
        <v>1.706966800974964</v>
      </c>
      <c r="AA255" s="9">
        <v>1.426188136055423</v>
      </c>
      <c r="AB255" s="9">
        <v>1.369297829361415</v>
      </c>
      <c r="AC255" s="9">
        <v>1.573627099598049</v>
      </c>
      <c r="AD255" s="9">
        <v>1.403760522905485</v>
      </c>
      <c r="AE255" s="9">
        <v>1.36813066423883</v>
      </c>
      <c r="AF255" s="9">
        <v>1.504759388786976</v>
      </c>
      <c r="AG255" s="9">
        <v>1.393687949845762</v>
      </c>
      <c r="AH255" s="9">
        <v>1.653973366678074</v>
      </c>
      <c r="AI255" s="9">
        <v>1.531811510227476</v>
      </c>
      <c r="AJ255" s="9">
        <v>1.29608032269502</v>
      </c>
      <c r="AK255" s="9">
        <v>1.490660712922466</v>
      </c>
      <c r="AL255" s="9">
        <v>1.320858712941166</v>
      </c>
      <c r="AM255" s="9">
        <v>1.673845683817102</v>
      </c>
      <c r="AN255" s="9">
        <v>1.431631594481949</v>
      </c>
      <c r="AO255" s="9">
        <v>1.603670742120806</v>
      </c>
      <c r="AP255" s="9">
        <v>1.309453989995799</v>
      </c>
      <c r="AQ255" s="9">
        <v>1.660854788130973</v>
      </c>
      <c r="AR255" s="9">
        <v>1.641482929335523</v>
      </c>
      <c r="AS255" s="9">
        <v>1.344033920230682</v>
      </c>
      <c r="AT255" s="9">
        <v>1.46249747691895</v>
      </c>
      <c r="AU255" s="9">
        <v>1.536530638362243</v>
      </c>
      <c r="AV255" s="9">
        <v>1.37989035466067</v>
      </c>
      <c r="AW255" s="9">
        <v>1.489107213423642</v>
      </c>
    </row>
    <row r="256" ht="15.0" customHeight="1">
      <c r="A256" s="5" t="s">
        <v>572</v>
      </c>
      <c r="B256" s="5" t="s">
        <v>573</v>
      </c>
      <c r="C256" s="5" t="s">
        <v>124</v>
      </c>
      <c r="D256" s="5" t="s">
        <v>52</v>
      </c>
      <c r="E256" s="5">
        <v>4.5</v>
      </c>
      <c r="F256" s="6">
        <v>0.0</v>
      </c>
      <c r="G256" s="5"/>
      <c r="H256" s="5">
        <v>2528.0</v>
      </c>
      <c r="I256" s="5" t="b">
        <v>0</v>
      </c>
      <c r="J256" s="5" t="b">
        <v>0</v>
      </c>
      <c r="K256" s="7">
        <v>0.0</v>
      </c>
      <c r="L256" s="8">
        <v>0.07847380368385715</v>
      </c>
      <c r="M256" s="9">
        <f t="shared" si="1"/>
        <v>0</v>
      </c>
      <c r="N256" s="7">
        <f t="shared" si="2"/>
        <v>0</v>
      </c>
      <c r="O256" s="9">
        <f t="shared" si="3"/>
        <v>0</v>
      </c>
      <c r="P256" s="9">
        <v>0.0</v>
      </c>
      <c r="Q256" s="9">
        <v>0.0</v>
      </c>
      <c r="R256" s="9">
        <v>0.0</v>
      </c>
      <c r="S256" s="9">
        <v>0.0</v>
      </c>
      <c r="T256" s="9">
        <v>0.0</v>
      </c>
      <c r="U256" s="9">
        <v>0.0</v>
      </c>
      <c r="V256" s="9">
        <v>0.0</v>
      </c>
      <c r="W256" s="9">
        <v>0.0</v>
      </c>
      <c r="X256" s="9">
        <v>0.0</v>
      </c>
      <c r="Y256" s="9">
        <v>0.0</v>
      </c>
      <c r="Z256" s="9">
        <v>0.0</v>
      </c>
      <c r="AA256" s="9">
        <v>0.0</v>
      </c>
      <c r="AB256" s="9">
        <v>0.0</v>
      </c>
      <c r="AC256" s="9">
        <v>0.0</v>
      </c>
      <c r="AD256" s="9">
        <v>0.0</v>
      </c>
      <c r="AE256" s="9">
        <v>0.0</v>
      </c>
      <c r="AF256" s="9">
        <v>0.0</v>
      </c>
      <c r="AG256" s="9">
        <v>0.0</v>
      </c>
      <c r="AH256" s="9">
        <v>0.0</v>
      </c>
      <c r="AI256" s="9">
        <v>0.0</v>
      </c>
      <c r="AJ256" s="9">
        <v>0.0</v>
      </c>
      <c r="AK256" s="9">
        <v>0.0</v>
      </c>
      <c r="AL256" s="9">
        <v>0.0</v>
      </c>
      <c r="AM256" s="9">
        <v>0.0</v>
      </c>
      <c r="AN256" s="9">
        <v>0.0</v>
      </c>
      <c r="AO256" s="9">
        <v>0.0</v>
      </c>
      <c r="AP256" s="9">
        <v>0.0</v>
      </c>
      <c r="AQ256" s="9">
        <v>0.0</v>
      </c>
      <c r="AR256" s="9">
        <v>0.0</v>
      </c>
      <c r="AS256" s="9">
        <v>0.0</v>
      </c>
      <c r="AT256" s="9">
        <v>0.0</v>
      </c>
      <c r="AU256" s="9">
        <v>0.0</v>
      </c>
      <c r="AV256" s="9">
        <v>0.0</v>
      </c>
      <c r="AW256" s="9">
        <v>0.0</v>
      </c>
    </row>
    <row r="257" ht="15.0" customHeight="1">
      <c r="A257" s="5" t="s">
        <v>574</v>
      </c>
      <c r="B257" s="5" t="s">
        <v>575</v>
      </c>
      <c r="C257" s="5" t="s">
        <v>124</v>
      </c>
      <c r="D257" s="5" t="s">
        <v>52</v>
      </c>
      <c r="E257" s="5">
        <v>4.5</v>
      </c>
      <c r="F257" s="6"/>
      <c r="G257" s="5"/>
      <c r="H257" s="5">
        <v>372.0</v>
      </c>
      <c r="I257" s="5" t="b">
        <v>0</v>
      </c>
      <c r="J257" s="5" t="b">
        <v>0</v>
      </c>
      <c r="K257" s="7">
        <v>22.95</v>
      </c>
      <c r="L257" s="8">
        <v>0.0686065272229312</v>
      </c>
      <c r="M257" s="9">
        <f t="shared" si="1"/>
        <v>1.247237875</v>
      </c>
      <c r="N257" s="7">
        <f t="shared" si="2"/>
        <v>42.40608776</v>
      </c>
      <c r="O257" s="9">
        <f t="shared" si="3"/>
        <v>9.423575057</v>
      </c>
      <c r="P257" s="9">
        <v>1.206880237022306</v>
      </c>
      <c r="Q257" s="9">
        <v>1.235156256549006</v>
      </c>
      <c r="R257" s="9">
        <v>1.225845232598641</v>
      </c>
      <c r="S257" s="9">
        <v>1.22385001243508</v>
      </c>
      <c r="T257" s="9">
        <v>1.326765330207161</v>
      </c>
      <c r="U257" s="9">
        <v>1.237158670890791</v>
      </c>
      <c r="V257" s="9">
        <v>1.181062816548878</v>
      </c>
      <c r="W257" s="9">
        <v>1.307341361038916</v>
      </c>
      <c r="X257" s="9">
        <v>1.176160894173714</v>
      </c>
      <c r="Y257" s="9">
        <v>1.314625268574471</v>
      </c>
      <c r="Z257" s="9">
        <v>1.24986625359205</v>
      </c>
      <c r="AA257" s="9">
        <v>1.259380444624429</v>
      </c>
      <c r="AB257" s="9">
        <v>1.300865923665179</v>
      </c>
      <c r="AC257" s="9">
        <v>1.234118740470917</v>
      </c>
      <c r="AD257" s="9">
        <v>1.202569894293766</v>
      </c>
      <c r="AE257" s="9">
        <v>1.302763173701964</v>
      </c>
      <c r="AF257" s="9">
        <v>1.264294444678275</v>
      </c>
      <c r="AG257" s="9">
        <v>1.253443725186771</v>
      </c>
      <c r="AH257" s="9">
        <v>1.211761640349633</v>
      </c>
      <c r="AI257" s="9">
        <v>1.193737584803365</v>
      </c>
      <c r="AJ257" s="9">
        <v>1.292949823346023</v>
      </c>
      <c r="AK257" s="9">
        <v>1.243106143810087</v>
      </c>
      <c r="AL257" s="9">
        <v>1.288903668871086</v>
      </c>
      <c r="AM257" s="9">
        <v>1.244531573347357</v>
      </c>
      <c r="AN257" s="9">
        <v>1.185243051134584</v>
      </c>
      <c r="AO257" s="9">
        <v>1.252649157287968</v>
      </c>
      <c r="AP257" s="9">
        <v>1.277891610607519</v>
      </c>
      <c r="AQ257" s="9">
        <v>1.247971227230986</v>
      </c>
      <c r="AR257" s="9">
        <v>1.246912081068864</v>
      </c>
      <c r="AS257" s="9">
        <v>1.262564717201524</v>
      </c>
      <c r="AT257" s="9">
        <v>1.215629498476669</v>
      </c>
      <c r="AU257" s="9">
        <v>1.218286110457369</v>
      </c>
      <c r="AV257" s="9">
        <v>1.309863645542803</v>
      </c>
      <c r="AW257" s="9">
        <v>1.211937543970365</v>
      </c>
    </row>
    <row r="258" ht="15.0" customHeight="1">
      <c r="A258" s="5" t="s">
        <v>576</v>
      </c>
      <c r="B258" s="5" t="s">
        <v>577</v>
      </c>
      <c r="C258" s="5" t="s">
        <v>124</v>
      </c>
      <c r="D258" s="5" t="s">
        <v>52</v>
      </c>
      <c r="E258" s="5">
        <v>5.5</v>
      </c>
      <c r="F258" s="6">
        <v>0.1176470588</v>
      </c>
      <c r="G258" s="5">
        <v>64.0</v>
      </c>
      <c r="H258" s="5">
        <v>566.0</v>
      </c>
      <c r="I258" s="5" t="b">
        <v>0</v>
      </c>
      <c r="J258" s="5" t="b">
        <v>0</v>
      </c>
      <c r="K258" s="7">
        <v>27.77941176374</v>
      </c>
      <c r="L258" s="8">
        <v>0.08903861155241338</v>
      </c>
      <c r="M258" s="9">
        <f t="shared" si="1"/>
        <v>1.558437869</v>
      </c>
      <c r="N258" s="7">
        <f t="shared" si="2"/>
        <v>52.98688755</v>
      </c>
      <c r="O258" s="9">
        <f t="shared" si="3"/>
        <v>9.633979555</v>
      </c>
      <c r="P258" s="9">
        <v>0.0</v>
      </c>
      <c r="Q258" s="9">
        <v>0.0</v>
      </c>
      <c r="R258" s="9">
        <v>0.0</v>
      </c>
      <c r="S258" s="9">
        <v>0.0</v>
      </c>
      <c r="T258" s="9">
        <v>0.0</v>
      </c>
      <c r="U258" s="9">
        <v>1.779909418933282</v>
      </c>
      <c r="V258" s="9">
        <v>1.53208119649683</v>
      </c>
      <c r="W258" s="9">
        <v>2.089972462793947</v>
      </c>
      <c r="X258" s="9">
        <v>1.510424788496449</v>
      </c>
      <c r="Y258" s="9">
        <v>2.122152342717433</v>
      </c>
      <c r="Z258" s="9">
        <v>1.836050780345156</v>
      </c>
      <c r="AA258" s="9">
        <v>1.878083923063754</v>
      </c>
      <c r="AB258" s="9">
        <v>2.061364357031792</v>
      </c>
      <c r="AC258" s="9">
        <v>1.766479183114145</v>
      </c>
      <c r="AD258" s="9">
        <v>1.627098215309497</v>
      </c>
      <c r="AE258" s="9">
        <v>2.069746297366778</v>
      </c>
      <c r="AF258" s="9">
        <v>1.899793689546218</v>
      </c>
      <c r="AG258" s="9">
        <v>1.851855841816057</v>
      </c>
      <c r="AH258" s="9">
        <v>1.667706814872455</v>
      </c>
      <c r="AI258" s="9">
        <v>1.588077585591068</v>
      </c>
      <c r="AJ258" s="9">
        <v>2.026391486153181</v>
      </c>
      <c r="AK258" s="9">
        <v>1.806185008437528</v>
      </c>
      <c r="AL258" s="9">
        <v>2.008515810971998</v>
      </c>
      <c r="AM258" s="9">
        <v>1.812482473242622</v>
      </c>
      <c r="AN258" s="9">
        <v>1.550549229810458</v>
      </c>
      <c r="AO258" s="9">
        <v>1.848345487044291</v>
      </c>
      <c r="AP258" s="9">
        <v>1.959865177928922</v>
      </c>
      <c r="AQ258" s="9">
        <v>1.827678664080198</v>
      </c>
      <c r="AR258" s="9">
        <v>1.822999417926652</v>
      </c>
      <c r="AS258" s="9">
        <v>1.892151854139812</v>
      </c>
      <c r="AT258" s="9">
        <v>1.684794787156772</v>
      </c>
      <c r="AU258" s="9">
        <v>1.696531544402099</v>
      </c>
      <c r="AV258" s="9">
        <v>2.10111576905803</v>
      </c>
      <c r="AW258" s="9">
        <v>1.668483946839825</v>
      </c>
    </row>
    <row r="259" ht="15.0" customHeight="1">
      <c r="A259" s="5" t="s">
        <v>578</v>
      </c>
      <c r="B259" s="5" t="s">
        <v>579</v>
      </c>
      <c r="C259" s="5" t="s">
        <v>124</v>
      </c>
      <c r="D259" s="5" t="s">
        <v>56</v>
      </c>
      <c r="E259" s="5">
        <v>7.5</v>
      </c>
      <c r="F259" s="6">
        <v>0.7857142857</v>
      </c>
      <c r="G259" s="5">
        <v>69.0</v>
      </c>
      <c r="H259" s="5">
        <v>974.0</v>
      </c>
      <c r="I259" s="5" t="b">
        <v>1</v>
      </c>
      <c r="J259" s="5" t="b">
        <v>1</v>
      </c>
      <c r="K259" s="7">
        <v>59.352857142214</v>
      </c>
      <c r="L259" s="8">
        <v>0.1182920251350336</v>
      </c>
      <c r="M259" s="9">
        <f t="shared" si="1"/>
        <v>3.368512682</v>
      </c>
      <c r="N259" s="7">
        <f t="shared" si="2"/>
        <v>114.5294312</v>
      </c>
      <c r="O259" s="9">
        <f t="shared" si="3"/>
        <v>15.27059082</v>
      </c>
      <c r="P259" s="9">
        <v>2.982346203748294</v>
      </c>
      <c r="Q259" s="9">
        <v>3.252908391043899</v>
      </c>
      <c r="R259" s="9">
        <v>3.163814839400476</v>
      </c>
      <c r="S259" s="9">
        <v>3.144723356913719</v>
      </c>
      <c r="T259" s="9">
        <v>4.129479837801831</v>
      </c>
      <c r="U259" s="9">
        <v>3.272068711812318</v>
      </c>
      <c r="V259" s="9">
        <v>2.735309390556642</v>
      </c>
      <c r="W259" s="9">
        <v>3.943619463106575</v>
      </c>
      <c r="X259" s="9">
        <v>2.688404809856189</v>
      </c>
      <c r="Y259" s="9">
        <v>4.013316329492519</v>
      </c>
      <c r="Z259" s="9">
        <v>3.393662607574268</v>
      </c>
      <c r="AA259" s="9">
        <v>3.484700185676023</v>
      </c>
      <c r="AB259" s="9">
        <v>3.881658531940866</v>
      </c>
      <c r="AC259" s="9">
        <v>3.242980804907639</v>
      </c>
      <c r="AD259" s="9">
        <v>2.941102217637516</v>
      </c>
      <c r="AE259" s="9">
        <v>3.899812576547978</v>
      </c>
      <c r="AF259" s="9">
        <v>3.531720332966691</v>
      </c>
      <c r="AG259" s="9">
        <v>3.427894036037586</v>
      </c>
      <c r="AH259" s="9">
        <v>3.029054445693971</v>
      </c>
      <c r="AI259" s="9">
        <v>2.856589297693526</v>
      </c>
      <c r="AJ259" s="9">
        <v>3.805912459719493</v>
      </c>
      <c r="AK259" s="9">
        <v>3.328977757316641</v>
      </c>
      <c r="AL259" s="9">
        <v>3.767196387825387</v>
      </c>
      <c r="AM259" s="9">
        <v>3.342617135839324</v>
      </c>
      <c r="AN259" s="9">
        <v>2.775308422664021</v>
      </c>
      <c r="AO259" s="9">
        <v>3.420291126142436</v>
      </c>
      <c r="AP259" s="9">
        <v>3.661826303199303</v>
      </c>
      <c r="AQ259" s="9">
        <v>3.375529840451649</v>
      </c>
      <c r="AR259" s="9">
        <v>3.365395284489163</v>
      </c>
      <c r="AS259" s="9">
        <v>3.515169246308505</v>
      </c>
      <c r="AT259" s="9">
        <v>3.066064469470895</v>
      </c>
      <c r="AU259" s="9">
        <v>3.09148455194096</v>
      </c>
      <c r="AV259" s="9">
        <v>3.967754218414304</v>
      </c>
      <c r="AW259" s="9">
        <v>3.030737598739377</v>
      </c>
    </row>
    <row r="260" ht="15.0" customHeight="1">
      <c r="A260" s="5" t="s">
        <v>580</v>
      </c>
      <c r="B260" s="5" t="s">
        <v>581</v>
      </c>
      <c r="C260" s="5" t="s">
        <v>124</v>
      </c>
      <c r="D260" s="5" t="s">
        <v>56</v>
      </c>
      <c r="E260" s="5">
        <v>5.5</v>
      </c>
      <c r="F260" s="6">
        <v>0.0</v>
      </c>
      <c r="G260" s="5"/>
      <c r="H260" s="5">
        <v>602.0</v>
      </c>
      <c r="I260" s="5" t="b">
        <v>0</v>
      </c>
      <c r="J260" s="5" t="b">
        <v>0</v>
      </c>
      <c r="K260" s="7">
        <v>0.0</v>
      </c>
      <c r="L260" s="8">
        <v>0.1404911251068735</v>
      </c>
      <c r="M260" s="9">
        <f t="shared" si="1"/>
        <v>0</v>
      </c>
      <c r="N260" s="7">
        <f t="shared" si="2"/>
        <v>0</v>
      </c>
      <c r="O260" s="9">
        <f t="shared" si="3"/>
        <v>0</v>
      </c>
      <c r="P260" s="9">
        <v>0.0</v>
      </c>
      <c r="Q260" s="9">
        <v>0.0</v>
      </c>
      <c r="R260" s="9">
        <v>0.0</v>
      </c>
      <c r="S260" s="9">
        <v>0.0</v>
      </c>
      <c r="T260" s="9">
        <v>0.0</v>
      </c>
      <c r="U260" s="9">
        <v>0.0</v>
      </c>
      <c r="V260" s="9">
        <v>0.0</v>
      </c>
      <c r="W260" s="9">
        <v>0.0</v>
      </c>
      <c r="X260" s="9">
        <v>0.0</v>
      </c>
      <c r="Y260" s="9">
        <v>0.0</v>
      </c>
      <c r="Z260" s="9">
        <v>0.0</v>
      </c>
      <c r="AA260" s="9">
        <v>0.0</v>
      </c>
      <c r="AB260" s="9">
        <v>0.0</v>
      </c>
      <c r="AC260" s="9">
        <v>0.0</v>
      </c>
      <c r="AD260" s="9">
        <v>0.0</v>
      </c>
      <c r="AE260" s="9">
        <v>0.0</v>
      </c>
      <c r="AF260" s="9">
        <v>0.0</v>
      </c>
      <c r="AG260" s="9">
        <v>0.0</v>
      </c>
      <c r="AH260" s="9">
        <v>0.0</v>
      </c>
      <c r="AI260" s="9">
        <v>0.0</v>
      </c>
      <c r="AJ260" s="9">
        <v>0.0</v>
      </c>
      <c r="AK260" s="9">
        <v>0.0</v>
      </c>
      <c r="AL260" s="9">
        <v>0.0</v>
      </c>
      <c r="AM260" s="9">
        <v>0.0</v>
      </c>
      <c r="AN260" s="9">
        <v>0.0</v>
      </c>
      <c r="AO260" s="9">
        <v>0.0</v>
      </c>
      <c r="AP260" s="9">
        <v>0.0</v>
      </c>
      <c r="AQ260" s="9">
        <v>0.0</v>
      </c>
      <c r="AR260" s="9">
        <v>0.0</v>
      </c>
      <c r="AS260" s="9">
        <v>0.0</v>
      </c>
      <c r="AT260" s="9">
        <v>0.0</v>
      </c>
      <c r="AU260" s="9">
        <v>0.0</v>
      </c>
      <c r="AV260" s="9">
        <v>0.0</v>
      </c>
      <c r="AW260" s="9">
        <v>0.0</v>
      </c>
    </row>
    <row r="261" ht="15.0" customHeight="1">
      <c r="A261" s="5" t="s">
        <v>582</v>
      </c>
      <c r="B261" s="5" t="s">
        <v>583</v>
      </c>
      <c r="C261" s="5" t="s">
        <v>55</v>
      </c>
      <c r="D261" s="5" t="s">
        <v>103</v>
      </c>
      <c r="E261" s="5">
        <v>5.5</v>
      </c>
      <c r="F261" s="6"/>
      <c r="G261" s="5"/>
      <c r="H261" s="5">
        <v>3233.0</v>
      </c>
      <c r="I261" s="5" t="b">
        <v>1</v>
      </c>
      <c r="J261" s="5" t="b">
        <v>0</v>
      </c>
      <c r="K261" s="7">
        <v>90.0</v>
      </c>
      <c r="L261" s="8">
        <v>0.06679840384333523</v>
      </c>
      <c r="M261" s="9">
        <f t="shared" si="1"/>
        <v>3.87164976</v>
      </c>
      <c r="N261" s="7">
        <f t="shared" si="2"/>
        <v>131.6360918</v>
      </c>
      <c r="O261" s="9">
        <f t="shared" si="3"/>
        <v>23.93383488</v>
      </c>
      <c r="P261" s="9">
        <v>3.809064853374025</v>
      </c>
      <c r="Q261" s="9">
        <v>4.087695101137545</v>
      </c>
      <c r="R261" s="9">
        <v>3.983183976483252</v>
      </c>
      <c r="S261" s="9">
        <v>4.259618053873207</v>
      </c>
      <c r="T261" s="9">
        <v>3.629029063270611</v>
      </c>
      <c r="U261" s="9">
        <v>3.849007692274802</v>
      </c>
      <c r="V261" s="9">
        <v>3.914197006945561</v>
      </c>
      <c r="W261" s="9">
        <v>3.82658415978925</v>
      </c>
      <c r="X261" s="9">
        <v>3.716915954345535</v>
      </c>
      <c r="Y261" s="9">
        <v>3.549395146563871</v>
      </c>
      <c r="Z261" s="9">
        <v>4.119943191763619</v>
      </c>
      <c r="AA261" s="9">
        <v>3.651012693641641</v>
      </c>
      <c r="AB261" s="9">
        <v>4.076054177866954</v>
      </c>
      <c r="AC261" s="9">
        <v>3.860993718582848</v>
      </c>
      <c r="AD261" s="9">
        <v>3.984547195536944</v>
      </c>
      <c r="AE261" s="9">
        <v>3.635618068716</v>
      </c>
      <c r="AF261" s="9">
        <v>3.797022733606175</v>
      </c>
      <c r="AG261" s="9">
        <v>3.669254225513906</v>
      </c>
      <c r="AH261" s="9">
        <v>3.826250403515762</v>
      </c>
      <c r="AI261" s="9">
        <v>4.104690033624223</v>
      </c>
      <c r="AJ261" s="9">
        <v>3.644968624843016</v>
      </c>
      <c r="AK261" s="9">
        <v>3.802150348107203</v>
      </c>
      <c r="AL261" s="9">
        <v>3.93097381825393</v>
      </c>
      <c r="AM261" s="9">
        <v>3.668013626978141</v>
      </c>
      <c r="AN261" s="9">
        <v>3.835708815842259</v>
      </c>
      <c r="AO261" s="9">
        <v>3.835456784099601</v>
      </c>
      <c r="AP261" s="9">
        <v>4.265238881825931</v>
      </c>
      <c r="AQ261" s="9">
        <v>3.861279964369146</v>
      </c>
      <c r="AR261" s="9">
        <v>3.978305752863749</v>
      </c>
      <c r="AS261" s="9">
        <v>4.054110157475878</v>
      </c>
      <c r="AT261" s="9">
        <v>4.266807025615966</v>
      </c>
      <c r="AU261" s="9">
        <v>3.704952295365602</v>
      </c>
      <c r="AV261" s="9">
        <v>3.625730315240171</v>
      </c>
      <c r="AW261" s="9">
        <v>3.812317966156058</v>
      </c>
    </row>
    <row r="262" ht="15.0" customHeight="1">
      <c r="A262" s="5" t="s">
        <v>584</v>
      </c>
      <c r="B262" s="5" t="s">
        <v>585</v>
      </c>
      <c r="C262" s="5" t="s">
        <v>55</v>
      </c>
      <c r="D262" s="5" t="s">
        <v>83</v>
      </c>
      <c r="E262" s="5">
        <v>5.0</v>
      </c>
      <c r="F262" s="6">
        <v>0.125</v>
      </c>
      <c r="G262" s="5">
        <v>45.0</v>
      </c>
      <c r="H262" s="5">
        <v>175.0</v>
      </c>
      <c r="I262" s="5" t="b">
        <v>1</v>
      </c>
      <c r="J262" s="5" t="b">
        <v>0</v>
      </c>
      <c r="K262" s="7">
        <v>80.76</v>
      </c>
      <c r="L262" s="8">
        <v>0.07445077136866877</v>
      </c>
      <c r="M262" s="9">
        <f t="shared" si="1"/>
        <v>3.508841272</v>
      </c>
      <c r="N262" s="7">
        <f t="shared" si="2"/>
        <v>119.3006033</v>
      </c>
      <c r="O262" s="9">
        <f t="shared" si="3"/>
        <v>23.86012065</v>
      </c>
      <c r="P262" s="9">
        <v>3.424826237760848</v>
      </c>
      <c r="Q262" s="9">
        <v>3.929451119948077</v>
      </c>
      <c r="R262" s="9">
        <v>3.75480850203988</v>
      </c>
      <c r="S262" s="9">
        <v>4.191792415879194</v>
      </c>
      <c r="T262" s="9">
        <v>2.988785027850782</v>
      </c>
      <c r="U262" s="9">
        <v>3.50608179473577</v>
      </c>
      <c r="V262" s="9">
        <v>3.631021770447644</v>
      </c>
      <c r="W262" s="9">
        <v>3.460957000625039</v>
      </c>
      <c r="X262" s="9">
        <v>3.219358551234003</v>
      </c>
      <c r="Y262" s="9">
        <v>2.724622887172379</v>
      </c>
      <c r="Z262" s="9">
        <v>3.980758242415493</v>
      </c>
      <c r="AA262" s="9">
        <v>3.050769943290907</v>
      </c>
      <c r="AB262" s="9">
        <v>3.910655436889038</v>
      </c>
      <c r="AC262" s="9">
        <v>3.529721059756682</v>
      </c>
      <c r="AD262" s="9">
        <v>3.757179467925849</v>
      </c>
      <c r="AE262" s="9">
        <v>3.007728863629925</v>
      </c>
      <c r="AF262" s="9">
        <v>3.399512947870317</v>
      </c>
      <c r="AG262" s="9">
        <v>3.099777787618291</v>
      </c>
      <c r="AH262" s="9">
        <v>3.460276077728288</v>
      </c>
      <c r="AI262" s="9">
        <v>3.956626382780909</v>
      </c>
      <c r="AJ262" s="9">
        <v>3.034066656763366</v>
      </c>
      <c r="AK262" s="9">
        <v>3.410340833193896</v>
      </c>
      <c r="AL262" s="9">
        <v>3.661850885611201</v>
      </c>
      <c r="AM262" s="9">
        <v>3.096507974989768</v>
      </c>
      <c r="AN262" s="9">
        <v>3.479465661233704</v>
      </c>
      <c r="AO262" s="9">
        <v>3.478957179648604</v>
      </c>
      <c r="AP262" s="9">
        <v>4.199952444835263</v>
      </c>
      <c r="AQ262" s="9">
        <v>3.530281685906838</v>
      </c>
      <c r="AR262" s="9">
        <v>3.746301797211314</v>
      </c>
      <c r="AS262" s="9">
        <v>3.874804815205216</v>
      </c>
      <c r="AT262" s="9">
        <v>4.202224877609514</v>
      </c>
      <c r="AU262" s="9">
        <v>3.190365743213533</v>
      </c>
      <c r="AV262" s="9">
        <v>2.979174914243541</v>
      </c>
      <c r="AW262" s="9">
        <v>3.431596274144465</v>
      </c>
    </row>
    <row r="263" ht="15.0" customHeight="1">
      <c r="A263" s="5" t="s">
        <v>586</v>
      </c>
      <c r="B263" s="5" t="s">
        <v>587</v>
      </c>
      <c r="C263" s="5" t="s">
        <v>55</v>
      </c>
      <c r="D263" s="5" t="s">
        <v>83</v>
      </c>
      <c r="E263" s="5">
        <v>5.0</v>
      </c>
      <c r="F263" s="6">
        <v>0.2272727273</v>
      </c>
      <c r="G263" s="5">
        <v>57.0</v>
      </c>
      <c r="H263" s="5">
        <v>622.0</v>
      </c>
      <c r="I263" s="5" t="b">
        <v>0</v>
      </c>
      <c r="J263" s="5" t="b">
        <v>0</v>
      </c>
      <c r="K263" s="7">
        <v>25.503636364748</v>
      </c>
      <c r="L263" s="8">
        <v>0.07433970657417045</v>
      </c>
      <c r="M263" s="9">
        <f t="shared" si="1"/>
        <v>1.039362831</v>
      </c>
      <c r="N263" s="7">
        <f t="shared" si="2"/>
        <v>35.33833625</v>
      </c>
      <c r="O263" s="9">
        <f t="shared" si="3"/>
        <v>7.067667251</v>
      </c>
      <c r="P263" s="9">
        <v>0.0</v>
      </c>
      <c r="Q263" s="9">
        <v>0.0</v>
      </c>
      <c r="R263" s="9">
        <v>1.100794409432993</v>
      </c>
      <c r="S263" s="9">
        <v>1.142094616719384</v>
      </c>
      <c r="T263" s="9">
        <v>1.072686566651258</v>
      </c>
      <c r="U263" s="9">
        <v>1.110116840134834</v>
      </c>
      <c r="V263" s="9">
        <v>1.104740099809614</v>
      </c>
      <c r="W263" s="9">
        <v>1.093625201242183</v>
      </c>
      <c r="X263" s="9">
        <v>1.10689067631427</v>
      </c>
      <c r="Y263" s="9">
        <v>1.048613473486193</v>
      </c>
      <c r="Z263" s="9">
        <v>1.154593117929648</v>
      </c>
      <c r="AA263" s="9">
        <v>1.076015971159454</v>
      </c>
      <c r="AB263" s="9">
        <v>1.145743438753</v>
      </c>
      <c r="AC263" s="9">
        <v>1.104226603585343</v>
      </c>
      <c r="AD263" s="9">
        <v>1.105181741575529</v>
      </c>
      <c r="AE263" s="9">
        <v>1.068125887335344</v>
      </c>
      <c r="AF263" s="9">
        <v>1.072527936769207</v>
      </c>
      <c r="AG263" s="9">
        <v>1.083429230501107</v>
      </c>
      <c r="AH263" s="9">
        <v>1.095430978460032</v>
      </c>
      <c r="AI263" s="9">
        <v>1.165290354874939</v>
      </c>
      <c r="AJ263" s="9">
        <v>1.056273843797789</v>
      </c>
      <c r="AK263" s="9">
        <v>1.115470573618245</v>
      </c>
      <c r="AL263" s="9">
        <v>1.160996323309573</v>
      </c>
      <c r="AM263" s="9">
        <v>1.064238820339323</v>
      </c>
      <c r="AN263" s="9">
        <v>1.119902018779503</v>
      </c>
      <c r="AO263" s="9">
        <v>1.118342150571699</v>
      </c>
      <c r="AP263" s="9">
        <v>1.152882177880181</v>
      </c>
      <c r="AQ263" s="9">
        <v>1.102079861764379</v>
      </c>
      <c r="AR263" s="9">
        <v>1.092689569261395</v>
      </c>
      <c r="AS263" s="9">
        <v>1.132163942772934</v>
      </c>
      <c r="AT263" s="9">
        <v>1.158721727188778</v>
      </c>
      <c r="AU263" s="9">
        <v>1.064624616977173</v>
      </c>
      <c r="AV263" s="9">
        <v>1.04042318450023</v>
      </c>
      <c r="AW263" s="9">
        <v>1.109400298817809</v>
      </c>
    </row>
    <row r="264" ht="15.0" customHeight="1">
      <c r="A264" s="5" t="s">
        <v>588</v>
      </c>
      <c r="B264" s="5" t="s">
        <v>589</v>
      </c>
      <c r="C264" s="5" t="s">
        <v>55</v>
      </c>
      <c r="D264" s="5" t="s">
        <v>83</v>
      </c>
      <c r="E264" s="5">
        <v>5.0</v>
      </c>
      <c r="F264" s="6">
        <v>0.2666666667</v>
      </c>
      <c r="G264" s="5">
        <v>75.0</v>
      </c>
      <c r="H264" s="5">
        <v>1017.0</v>
      </c>
      <c r="I264" s="5" t="b">
        <v>0</v>
      </c>
      <c r="J264" s="5" t="b">
        <v>0</v>
      </c>
      <c r="K264" s="7">
        <v>31.909333335292</v>
      </c>
      <c r="L264" s="8">
        <v>0.08094351270211407</v>
      </c>
      <c r="M264" s="9">
        <f t="shared" si="1"/>
        <v>1.227430091</v>
      </c>
      <c r="N264" s="7">
        <f t="shared" si="2"/>
        <v>41.73262308</v>
      </c>
      <c r="O264" s="9">
        <f t="shared" si="3"/>
        <v>8.346524616</v>
      </c>
      <c r="P264" s="9">
        <v>1.208811405799685</v>
      </c>
      <c r="Q264" s="9">
        <v>1.290876420556558</v>
      </c>
      <c r="R264" s="9">
        <v>1.222847430009444</v>
      </c>
      <c r="S264" s="9">
        <v>1.260088521318513</v>
      </c>
      <c r="T264" s="9">
        <v>1.197502115583371</v>
      </c>
      <c r="U264" s="9">
        <v>1.231253622515508</v>
      </c>
      <c r="V264" s="9">
        <v>1.226405325362707</v>
      </c>
      <c r="W264" s="9">
        <v>1.216382834444674</v>
      </c>
      <c r="X264" s="9">
        <v>1.228344536355564</v>
      </c>
      <c r="Y264" s="9">
        <v>1.175795002724707</v>
      </c>
      <c r="Z264" s="9">
        <v>1.271358630002722</v>
      </c>
      <c r="AA264" s="9">
        <v>1.200504295607184</v>
      </c>
      <c r="AB264" s="9">
        <v>1.263378725495508</v>
      </c>
      <c r="AC264" s="9">
        <v>1.225942297183639</v>
      </c>
      <c r="AD264" s="9">
        <v>1.226803561168554</v>
      </c>
      <c r="AE264" s="9">
        <v>1.193389674363462</v>
      </c>
      <c r="AF264" s="9">
        <v>1.197359076351611</v>
      </c>
      <c r="AG264" s="9">
        <v>1.207188956198011</v>
      </c>
      <c r="AH264" s="9">
        <v>1.218011134123351</v>
      </c>
      <c r="AI264" s="9">
        <v>1.281004508413739</v>
      </c>
      <c r="AJ264" s="9">
        <v>1.182702487431919</v>
      </c>
      <c r="AK264" s="9">
        <v>1.236081174012224</v>
      </c>
      <c r="AL264" s="9">
        <v>1.277132507953768</v>
      </c>
      <c r="AM264" s="9">
        <v>1.189884640698147</v>
      </c>
      <c r="AN264" s="9">
        <v>1.240077082622008</v>
      </c>
      <c r="AO264" s="9">
        <v>1.238670523232267</v>
      </c>
      <c r="AP264" s="9">
        <v>1.269815846593314</v>
      </c>
      <c r="AQ264" s="9">
        <v>1.224006543989542</v>
      </c>
      <c r="AR264" s="9">
        <v>1.215539159356397</v>
      </c>
      <c r="AS264" s="9">
        <v>1.25113386565212</v>
      </c>
      <c r="AT264" s="9">
        <v>1.27508146638784</v>
      </c>
      <c r="AU264" s="9">
        <v>1.190232520013069</v>
      </c>
      <c r="AV264" s="9">
        <v>1.168409681439057</v>
      </c>
      <c r="AW264" s="9">
        <v>1.230607505162415</v>
      </c>
    </row>
    <row r="265" ht="15.0" customHeight="1">
      <c r="A265" s="5" t="s">
        <v>590</v>
      </c>
      <c r="B265" s="5" t="s">
        <v>591</v>
      </c>
      <c r="C265" s="5" t="s">
        <v>55</v>
      </c>
      <c r="D265" s="5" t="s">
        <v>83</v>
      </c>
      <c r="E265" s="5">
        <v>5.5</v>
      </c>
      <c r="F265" s="6"/>
      <c r="G265" s="5"/>
      <c r="H265" s="5">
        <v>3702.0</v>
      </c>
      <c r="I265" s="5" t="b">
        <v>1</v>
      </c>
      <c r="J265" s="5" t="b">
        <v>0</v>
      </c>
      <c r="K265" s="7">
        <v>80.76</v>
      </c>
      <c r="L265" s="8">
        <v>0.07285467786970058</v>
      </c>
      <c r="M265" s="9">
        <f t="shared" si="1"/>
        <v>3.560919245</v>
      </c>
      <c r="N265" s="7">
        <f t="shared" si="2"/>
        <v>121.0712543</v>
      </c>
      <c r="O265" s="9">
        <f t="shared" si="3"/>
        <v>22.01295533</v>
      </c>
      <c r="P265" s="9">
        <v>3.442826231666862</v>
      </c>
      <c r="Q265" s="9">
        <v>4.097456067384575</v>
      </c>
      <c r="R265" s="9">
        <v>3.79810267974215</v>
      </c>
      <c r="S265" s="9">
        <v>4.30284985741283</v>
      </c>
      <c r="T265" s="9">
        <v>2.986657436447547</v>
      </c>
      <c r="U265" s="9">
        <v>3.565187747669045</v>
      </c>
      <c r="V265" s="9">
        <v>3.681035736177671</v>
      </c>
      <c r="W265" s="9">
        <v>3.492812142006724</v>
      </c>
      <c r="X265" s="9">
        <v>3.273546399017495</v>
      </c>
      <c r="Y265" s="9">
        <v>2.683011439939719</v>
      </c>
      <c r="Z265" s="9">
        <v>4.112832520841384</v>
      </c>
      <c r="AA265" s="9">
        <v>3.054065319892179</v>
      </c>
      <c r="AB265" s="9">
        <v>4.02817465737562</v>
      </c>
      <c r="AC265" s="9">
        <v>3.579034918199802</v>
      </c>
      <c r="AD265" s="9">
        <v>3.807737591471296</v>
      </c>
      <c r="AE265" s="9">
        <v>2.998018519554098</v>
      </c>
      <c r="AF265" s="9">
        <v>3.396512456279151</v>
      </c>
      <c r="AG265" s="9">
        <v>3.115280177591809</v>
      </c>
      <c r="AH265" s="9">
        <v>3.495123439752423</v>
      </c>
      <c r="AI265" s="9">
        <v>4.106456121675873</v>
      </c>
      <c r="AJ265" s="9">
        <v>3.004684677090428</v>
      </c>
      <c r="AK265" s="9">
        <v>3.478457288221244</v>
      </c>
      <c r="AL265" s="9">
        <v>3.805005594007842</v>
      </c>
      <c r="AM265" s="9">
        <v>3.080226954259547</v>
      </c>
      <c r="AN265" s="9">
        <v>3.554819971165517</v>
      </c>
      <c r="AO265" s="9">
        <v>3.551728375786522</v>
      </c>
      <c r="AP265" s="9">
        <v>4.328866996351697</v>
      </c>
      <c r="AQ265" s="9">
        <v>3.576038706028362</v>
      </c>
      <c r="AR265" s="9">
        <v>3.776183216867503</v>
      </c>
      <c r="AS265" s="9">
        <v>3.969883314022702</v>
      </c>
      <c r="AT265" s="9">
        <v>4.340809070157185</v>
      </c>
      <c r="AU265" s="9">
        <v>3.174584356176303</v>
      </c>
      <c r="AV265" s="9">
        <v>2.923618392900261</v>
      </c>
      <c r="AW265" s="9">
        <v>3.489625948547315</v>
      </c>
    </row>
    <row r="266" ht="15.0" customHeight="1">
      <c r="A266" s="5" t="s">
        <v>592</v>
      </c>
      <c r="B266" s="5" t="s">
        <v>593</v>
      </c>
      <c r="C266" s="5" t="s">
        <v>55</v>
      </c>
      <c r="D266" s="5" t="s">
        <v>52</v>
      </c>
      <c r="E266" s="5">
        <v>4.5</v>
      </c>
      <c r="F266" s="6">
        <v>0.347826087</v>
      </c>
      <c r="G266" s="10">
        <v>75.0</v>
      </c>
      <c r="H266" s="5">
        <v>811.0</v>
      </c>
      <c r="I266" s="5" t="b">
        <v>0</v>
      </c>
      <c r="J266" s="5" t="b">
        <v>0</v>
      </c>
      <c r="K266" s="7">
        <v>41.05434782835</v>
      </c>
      <c r="L266" s="8">
        <v>0.0614013522894564</v>
      </c>
      <c r="M266" s="9">
        <f t="shared" si="1"/>
        <v>1.089636213</v>
      </c>
      <c r="N266" s="7">
        <f t="shared" si="2"/>
        <v>37.04763125</v>
      </c>
      <c r="O266" s="9">
        <f t="shared" si="3"/>
        <v>8.232806944</v>
      </c>
      <c r="P266" s="9">
        <v>1.072948401934714</v>
      </c>
      <c r="Q266" s="9">
        <v>1.146502763685447</v>
      </c>
      <c r="R266" s="9">
        <v>1.085528803038951</v>
      </c>
      <c r="S266" s="9">
        <v>1.118907761298506</v>
      </c>
      <c r="T266" s="9">
        <v>1.062811955530857</v>
      </c>
      <c r="U266" s="9">
        <v>1.09306322104118</v>
      </c>
      <c r="V266" s="9">
        <v>1.088717722490931</v>
      </c>
      <c r="W266" s="9">
        <v>1.079734626285898</v>
      </c>
      <c r="X266" s="9">
        <v>1.090455825229378</v>
      </c>
      <c r="Y266" s="9">
        <v>1.043356005434455</v>
      </c>
      <c r="Z266" s="9">
        <v>1.1290090895391</v>
      </c>
      <c r="AA266" s="9">
        <v>1.065502790793198</v>
      </c>
      <c r="AB266" s="9">
        <v>1.121856750815969</v>
      </c>
      <c r="AC266" s="9">
        <v>1.088302713217066</v>
      </c>
      <c r="AD266" s="9">
        <v>1.089074658764106</v>
      </c>
      <c r="AE266" s="9">
        <v>1.059126000071469</v>
      </c>
      <c r="AF266" s="9">
        <v>1.06268375035806</v>
      </c>
      <c r="AG266" s="9">
        <v>1.071494210458877</v>
      </c>
      <c r="AH266" s="9">
        <v>1.081194061149327</v>
      </c>
      <c r="AI266" s="9">
        <v>1.137654630299063</v>
      </c>
      <c r="AJ266" s="9">
        <v>1.049547140968241</v>
      </c>
      <c r="AK266" s="9">
        <v>1.097390125389053</v>
      </c>
      <c r="AL266" s="9">
        <v>1.134184180395709</v>
      </c>
      <c r="AM266" s="9">
        <v>1.055984460221255</v>
      </c>
      <c r="AN266" s="9">
        <v>1.100971633395573</v>
      </c>
      <c r="AO266" s="9">
        <v>1.099710942972456</v>
      </c>
      <c r="AP266" s="9">
        <v>1.127626302375352</v>
      </c>
      <c r="AQ266" s="9">
        <v>1.086567709682118</v>
      </c>
      <c r="AR266" s="9">
        <v>1.078978445557398</v>
      </c>
      <c r="AS266" s="9">
        <v>1.110881759180667</v>
      </c>
      <c r="AT266" s="9">
        <v>1.13234584461093</v>
      </c>
      <c r="AU266" s="9">
        <v>1.056296262285157</v>
      </c>
      <c r="AV266" s="9">
        <v>1.036736587950653</v>
      </c>
      <c r="AW266" s="9">
        <v>1.092484110080638</v>
      </c>
    </row>
    <row r="267" ht="15.0" customHeight="1">
      <c r="A267" s="5" t="s">
        <v>594</v>
      </c>
      <c r="B267" s="5" t="s">
        <v>595</v>
      </c>
      <c r="C267" s="5" t="s">
        <v>67</v>
      </c>
      <c r="D267" s="5" t="s">
        <v>52</v>
      </c>
      <c r="E267" s="5">
        <v>6.0</v>
      </c>
      <c r="F267" s="6"/>
      <c r="G267" s="5"/>
      <c r="H267" s="5">
        <v>697.0</v>
      </c>
      <c r="I267" s="5" t="b">
        <v>0</v>
      </c>
      <c r="J267" s="5" t="b">
        <v>0</v>
      </c>
      <c r="K267" s="7">
        <v>22.95</v>
      </c>
      <c r="L267" s="8">
        <v>0.05737135792525883</v>
      </c>
      <c r="M267" s="9">
        <f t="shared" si="1"/>
        <v>1.342909811</v>
      </c>
      <c r="N267" s="7">
        <f t="shared" si="2"/>
        <v>45.65893356</v>
      </c>
      <c r="O267" s="9">
        <f t="shared" si="3"/>
        <v>7.609822261</v>
      </c>
      <c r="P267" s="9">
        <v>1.424310143374294</v>
      </c>
      <c r="Q267" s="9">
        <v>1.253883241929986</v>
      </c>
      <c r="R267" s="9">
        <v>1.336281348721814</v>
      </c>
      <c r="S267" s="9">
        <v>1.499423035195524</v>
      </c>
      <c r="T267" s="9">
        <v>1.278943177427611</v>
      </c>
      <c r="U267" s="9">
        <v>1.460888262990926</v>
      </c>
      <c r="V267" s="9">
        <v>1.465892166052684</v>
      </c>
      <c r="W267" s="9">
        <v>1.210367120576479</v>
      </c>
      <c r="X267" s="9">
        <v>1.333453471369014</v>
      </c>
      <c r="Y267" s="9">
        <v>1.271269821351206</v>
      </c>
      <c r="Z267" s="9">
        <v>1.253034524674336</v>
      </c>
      <c r="AA267" s="9">
        <v>1.352385639523231</v>
      </c>
      <c r="AB267" s="9">
        <v>1.299209940820979</v>
      </c>
      <c r="AC267" s="9">
        <v>1.353961964769438</v>
      </c>
      <c r="AD267" s="9">
        <v>1.295251668758515</v>
      </c>
      <c r="AE267" s="9">
        <v>1.365739687910945</v>
      </c>
      <c r="AF267" s="9">
        <v>1.321654414639004</v>
      </c>
      <c r="AG267" s="9">
        <v>1.375488461246001</v>
      </c>
      <c r="AH267" s="9">
        <v>1.372056894107726</v>
      </c>
      <c r="AI267" s="9">
        <v>1.342133628683895</v>
      </c>
      <c r="AJ267" s="9">
        <v>1.284213569726195</v>
      </c>
      <c r="AK267" s="9">
        <v>1.261585715923113</v>
      </c>
      <c r="AL267" s="9">
        <v>1.451805700893997</v>
      </c>
      <c r="AM267" s="9">
        <v>1.271618792557665</v>
      </c>
      <c r="AN267" s="9">
        <v>1.200642307874429</v>
      </c>
      <c r="AO267" s="9">
        <v>1.402463570564447</v>
      </c>
      <c r="AP267" s="9">
        <v>1.432337217534358</v>
      </c>
      <c r="AQ267" s="9">
        <v>1.218660193229482</v>
      </c>
      <c r="AR267" s="9">
        <v>1.343105200104621</v>
      </c>
      <c r="AS267" s="9">
        <v>1.44804178954563</v>
      </c>
      <c r="AT267" s="9">
        <v>1.346864699953122</v>
      </c>
      <c r="AU267" s="9">
        <v>1.341003984038262</v>
      </c>
      <c r="AV267" s="9">
        <v>1.475338642066941</v>
      </c>
      <c r="AW267" s="9">
        <v>1.315623565576538</v>
      </c>
    </row>
    <row r="268" ht="15.0" customHeight="1">
      <c r="A268" s="5" t="s">
        <v>596</v>
      </c>
      <c r="B268" s="5" t="s">
        <v>597</v>
      </c>
      <c r="C268" s="5" t="s">
        <v>55</v>
      </c>
      <c r="D268" s="5" t="s">
        <v>52</v>
      </c>
      <c r="E268" s="5">
        <v>5.5</v>
      </c>
      <c r="F268" s="6">
        <v>0.08333333333</v>
      </c>
      <c r="G268" s="5">
        <v>71.0</v>
      </c>
      <c r="H268" s="5">
        <v>235.0</v>
      </c>
      <c r="I268" s="5" t="b">
        <v>0</v>
      </c>
      <c r="J268" s="5" t="b">
        <v>0</v>
      </c>
      <c r="K268" s="7">
        <v>26.9541666665065</v>
      </c>
      <c r="L268" s="8">
        <v>0.05264956708123145</v>
      </c>
      <c r="M268" s="9">
        <f t="shared" si="1"/>
        <v>1.50042368</v>
      </c>
      <c r="N268" s="7">
        <f t="shared" si="2"/>
        <v>51.01440513</v>
      </c>
      <c r="O268" s="9">
        <f t="shared" si="3"/>
        <v>9.275346387</v>
      </c>
      <c r="P268" s="9">
        <v>1.443508380870343</v>
      </c>
      <c r="Q268" s="9">
        <v>1.694372228120994</v>
      </c>
      <c r="R268" s="9">
        <v>1.486414984174993</v>
      </c>
      <c r="S268" s="9">
        <v>1.600256960189789</v>
      </c>
      <c r="T268" s="9">
        <v>1.408937107572655</v>
      </c>
      <c r="U268" s="9">
        <v>1.512111802716344</v>
      </c>
      <c r="V268" s="9">
        <v>1.497291084289996</v>
      </c>
      <c r="W268" s="9">
        <v>1.466653416848134</v>
      </c>
      <c r="X268" s="9">
        <v>1.503219041918957</v>
      </c>
      <c r="Y268" s="9">
        <v>1.342580818469905</v>
      </c>
      <c r="Z268" s="9">
        <v>1.634708459794459</v>
      </c>
      <c r="AA268" s="9">
        <v>1.418114446212563</v>
      </c>
      <c r="AB268" s="9">
        <v>1.61031475741954</v>
      </c>
      <c r="AC268" s="9">
        <v>1.49587565737841</v>
      </c>
      <c r="AD268" s="9">
        <v>1.498508447945673</v>
      </c>
      <c r="AE268" s="9">
        <v>1.396365820903483</v>
      </c>
      <c r="AF268" s="9">
        <v>1.408499852158841</v>
      </c>
      <c r="AG268" s="9">
        <v>1.438548728450223</v>
      </c>
      <c r="AH268" s="9">
        <v>1.471630952319007</v>
      </c>
      <c r="AI268" s="9">
        <v>1.664194863659354</v>
      </c>
      <c r="AJ268" s="9">
        <v>1.363696249858178</v>
      </c>
      <c r="AK268" s="9">
        <v>1.526869103922649</v>
      </c>
      <c r="AL268" s="9">
        <v>1.652358578308984</v>
      </c>
      <c r="AM268" s="9">
        <v>1.385651313233815</v>
      </c>
      <c r="AN268" s="9">
        <v>1.539084163044764</v>
      </c>
      <c r="AO268" s="9">
        <v>1.53478446358157</v>
      </c>
      <c r="AP268" s="9">
        <v>1.629992338281471</v>
      </c>
      <c r="AQ268" s="9">
        <v>1.489958269865136</v>
      </c>
      <c r="AR268" s="9">
        <v>1.464074393629754</v>
      </c>
      <c r="AS268" s="9">
        <v>1.572883549267589</v>
      </c>
      <c r="AT268" s="9">
        <v>1.646088766750138</v>
      </c>
      <c r="AU268" s="9">
        <v>1.386714742559682</v>
      </c>
      <c r="AV268" s="9">
        <v>1.320004692499672</v>
      </c>
      <c r="AW268" s="9">
        <v>1.510136692062282</v>
      </c>
    </row>
    <row r="269" ht="15.0" customHeight="1">
      <c r="A269" s="5" t="s">
        <v>598</v>
      </c>
      <c r="B269" s="5" t="s">
        <v>599</v>
      </c>
      <c r="C269" s="5" t="s">
        <v>55</v>
      </c>
      <c r="D269" s="5" t="s">
        <v>52</v>
      </c>
      <c r="E269" s="5">
        <v>5.0</v>
      </c>
      <c r="F269" s="6">
        <v>0.2222222222</v>
      </c>
      <c r="G269" s="10">
        <v>72.0</v>
      </c>
      <c r="H269" s="5">
        <v>408.0</v>
      </c>
      <c r="I269" s="5" t="b">
        <v>0</v>
      </c>
      <c r="J269" s="5" t="b">
        <v>0</v>
      </c>
      <c r="K269" s="7">
        <v>33.84999999891</v>
      </c>
      <c r="L269" s="8">
        <v>0.08573363113895854</v>
      </c>
      <c r="M269" s="9">
        <f t="shared" si="1"/>
        <v>1.881455886</v>
      </c>
      <c r="N269" s="7">
        <f t="shared" si="2"/>
        <v>63.96950011</v>
      </c>
      <c r="O269" s="9">
        <f t="shared" si="3"/>
        <v>12.79390002</v>
      </c>
      <c r="P269" s="9">
        <v>1.780318184632943</v>
      </c>
      <c r="Q269" s="9">
        <v>2.226099776543132</v>
      </c>
      <c r="R269" s="9">
        <v>1.85656262612672</v>
      </c>
      <c r="S269" s="9">
        <v>2.058858245245451</v>
      </c>
      <c r="T269" s="9">
        <v>1.718885509443173</v>
      </c>
      <c r="U269" s="9">
        <v>1.902225517778642</v>
      </c>
      <c r="V269" s="9">
        <v>1.875889305822404</v>
      </c>
      <c r="W269" s="9">
        <v>1.82144659391182</v>
      </c>
      <c r="X269" s="9">
        <v>1.886423204658668</v>
      </c>
      <c r="Y269" s="9">
        <v>1.600971300147317</v>
      </c>
      <c r="Z269" s="9">
        <v>2.120078084236911</v>
      </c>
      <c r="AA269" s="9">
        <v>1.73519351345903</v>
      </c>
      <c r="AB269" s="9">
        <v>2.076730812015539</v>
      </c>
      <c r="AC269" s="9">
        <v>1.87337411174883</v>
      </c>
      <c r="AD269" s="9">
        <v>1.87805254422566</v>
      </c>
      <c r="AE269" s="9">
        <v>1.696546506652773</v>
      </c>
      <c r="AF269" s="9">
        <v>1.718108512611713</v>
      </c>
      <c r="AG269" s="9">
        <v>1.771504950779628</v>
      </c>
      <c r="AH269" s="9">
        <v>1.830291605699341</v>
      </c>
      <c r="AI269" s="9">
        <v>2.172475016671204</v>
      </c>
      <c r="AJ269" s="9">
        <v>1.638493130101276</v>
      </c>
      <c r="AK269" s="9">
        <v>1.92844903821071</v>
      </c>
      <c r="AL269" s="9">
        <v>2.15144210107329</v>
      </c>
      <c r="AM269" s="9">
        <v>1.67750697450071</v>
      </c>
      <c r="AN269" s="9">
        <v>1.95015502956981</v>
      </c>
      <c r="AO269" s="9">
        <v>1.942514523006412</v>
      </c>
      <c r="AP269" s="9">
        <v>2.11169760144219</v>
      </c>
      <c r="AQ269" s="9">
        <v>1.862858995862158</v>
      </c>
      <c r="AR269" s="9">
        <v>1.816863705271377</v>
      </c>
      <c r="AS269" s="9">
        <v>2.010216072088002</v>
      </c>
      <c r="AT269" s="9">
        <v>2.140300732524929</v>
      </c>
      <c r="AU269" s="9">
        <v>1.679396673725865</v>
      </c>
      <c r="AV269" s="9">
        <v>1.560853836094715</v>
      </c>
      <c r="AW269" s="9">
        <v>1.898715773424419</v>
      </c>
    </row>
    <row r="270" ht="15.0" customHeight="1">
      <c r="A270" s="5" t="s">
        <v>600</v>
      </c>
      <c r="B270" s="5" t="s">
        <v>601</v>
      </c>
      <c r="C270" s="5" t="s">
        <v>55</v>
      </c>
      <c r="D270" s="5" t="s">
        <v>52</v>
      </c>
      <c r="E270" s="5">
        <v>6.5</v>
      </c>
      <c r="F270" s="6"/>
      <c r="G270" s="5"/>
      <c r="H270" s="5">
        <v>1945.0</v>
      </c>
      <c r="I270" s="5" t="b">
        <v>1</v>
      </c>
      <c r="J270" s="5" t="b">
        <v>0</v>
      </c>
      <c r="K270" s="7">
        <v>74.05</v>
      </c>
      <c r="L270" s="8">
        <v>0.05442970118746354</v>
      </c>
      <c r="M270" s="9">
        <f t="shared" si="1"/>
        <v>2.327953344</v>
      </c>
      <c r="N270" s="7">
        <f t="shared" si="2"/>
        <v>79.15041368</v>
      </c>
      <c r="O270" s="9">
        <f t="shared" si="3"/>
        <v>12.17698672</v>
      </c>
      <c r="P270" s="9">
        <v>2.281254962861516</v>
      </c>
      <c r="Q270" s="9">
        <v>2.520038897727428</v>
      </c>
      <c r="R270" s="9">
        <v>2.381878718027434</v>
      </c>
      <c r="S270" s="9">
        <v>2.54126624898422</v>
      </c>
      <c r="T270" s="9">
        <v>2.158430874404246</v>
      </c>
      <c r="U270" s="9">
        <v>2.33263334867179</v>
      </c>
      <c r="V270" s="9">
        <v>2.3564935338285</v>
      </c>
      <c r="W270" s="9">
        <v>2.300727409748837</v>
      </c>
      <c r="X270" s="9">
        <v>2.25821240069929</v>
      </c>
      <c r="Y270" s="9">
        <v>2.063207831369108</v>
      </c>
      <c r="Z270" s="9">
        <v>2.505280959408037</v>
      </c>
      <c r="AA270" s="9">
        <v>2.17784460164859</v>
      </c>
      <c r="AB270" s="9">
        <v>2.476901457139812</v>
      </c>
      <c r="AC270" s="9">
        <v>2.3309915268125</v>
      </c>
      <c r="AD270" s="9">
        <v>2.388003214313964</v>
      </c>
      <c r="AE270" s="9">
        <v>2.157316784077175</v>
      </c>
      <c r="AF270" s="9">
        <v>2.2589990944878</v>
      </c>
      <c r="AG270" s="9">
        <v>2.199233911414542</v>
      </c>
      <c r="AH270" s="9">
        <v>2.302841705956935</v>
      </c>
      <c r="AI270" s="9">
        <v>2.512874921148843</v>
      </c>
      <c r="AJ270" s="9">
        <v>2.148805087804527</v>
      </c>
      <c r="AK270" s="9">
        <v>2.315907829089968</v>
      </c>
      <c r="AL270" s="9">
        <v>2.435129314488206</v>
      </c>
      <c r="AM270" s="9">
        <v>2.174187206917078</v>
      </c>
      <c r="AN270" s="9">
        <v>2.338465552684431</v>
      </c>
      <c r="AO270" s="9">
        <v>2.336370118850392</v>
      </c>
      <c r="AP270" s="9">
        <v>2.556896865364576</v>
      </c>
      <c r="AQ270" s="9">
        <v>2.32841695422663</v>
      </c>
      <c r="AR270" s="9">
        <v>2.369552302198893</v>
      </c>
      <c r="AS270" s="9">
        <v>2.45094995619241</v>
      </c>
      <c r="AT270" s="9">
        <v>2.564831867046135</v>
      </c>
      <c r="AU270" s="9">
        <v>2.19770181971023</v>
      </c>
      <c r="AV270" s="9">
        <v>2.115312701437506</v>
      </c>
      <c r="AW270" s="9">
        <v>2.3134537021805</v>
      </c>
    </row>
    <row r="271" ht="15.0" customHeight="1">
      <c r="A271" s="5" t="s">
        <v>602</v>
      </c>
      <c r="B271" s="5" t="s">
        <v>603</v>
      </c>
      <c r="C271" s="5" t="s">
        <v>55</v>
      </c>
      <c r="D271" s="5" t="s">
        <v>56</v>
      </c>
      <c r="E271" s="5">
        <v>5.0</v>
      </c>
      <c r="F271" s="6"/>
      <c r="G271" s="10"/>
      <c r="H271" s="5">
        <v>1460.0</v>
      </c>
      <c r="I271" s="5" t="b">
        <v>0</v>
      </c>
      <c r="J271" s="5" t="b">
        <v>0</v>
      </c>
      <c r="K271" s="7">
        <v>23.98</v>
      </c>
      <c r="L271" s="8">
        <v>0.06255381810359613</v>
      </c>
      <c r="M271" s="9">
        <f t="shared" si="1"/>
        <v>1.27260729</v>
      </c>
      <c r="N271" s="7">
        <f t="shared" si="2"/>
        <v>43.26864787</v>
      </c>
      <c r="O271" s="9">
        <f t="shared" si="3"/>
        <v>8.653729574</v>
      </c>
      <c r="P271" s="9">
        <v>1.236911608779084</v>
      </c>
      <c r="Q271" s="9">
        <v>1.394246386863834</v>
      </c>
      <c r="R271" s="9">
        <v>1.263821428521116</v>
      </c>
      <c r="S271" s="9">
        <v>1.335219927066509</v>
      </c>
      <c r="T271" s="9">
        <v>1.215229474537699</v>
      </c>
      <c r="U271" s="9">
        <v>1.279937753320392</v>
      </c>
      <c r="V271" s="9">
        <v>1.270642613864382</v>
      </c>
      <c r="W271" s="9">
        <v>1.251427527032108</v>
      </c>
      <c r="X271" s="9">
        <v>1.274360462842104</v>
      </c>
      <c r="Y271" s="9">
        <v>1.173612668708849</v>
      </c>
      <c r="Z271" s="9">
        <v>1.356826942602597</v>
      </c>
      <c r="AA271" s="9">
        <v>1.220985244267547</v>
      </c>
      <c r="AB271" s="9">
        <v>1.341527895761508</v>
      </c>
      <c r="AC271" s="9">
        <v>1.269754897752754</v>
      </c>
      <c r="AD271" s="9">
        <v>1.271406110249825</v>
      </c>
      <c r="AE271" s="9">
        <v>1.207345115671283</v>
      </c>
      <c r="AF271" s="9">
        <v>1.214955240190053</v>
      </c>
      <c r="AG271" s="9">
        <v>1.23380105370529</v>
      </c>
      <c r="AH271" s="9">
        <v>1.254549297854414</v>
      </c>
      <c r="AI271" s="9">
        <v>1.375319989167274</v>
      </c>
      <c r="AJ271" s="9">
        <v>1.186855675814286</v>
      </c>
      <c r="AK271" s="9">
        <v>1.289193119272361</v>
      </c>
      <c r="AL271" s="9">
        <v>1.367896602539995</v>
      </c>
      <c r="AM271" s="9">
        <v>1.200625276583388</v>
      </c>
      <c r="AN271" s="9">
        <v>1.296854062199502</v>
      </c>
      <c r="AO271" s="9">
        <v>1.294157411134445</v>
      </c>
      <c r="AP271" s="9">
        <v>1.353869123292247</v>
      </c>
      <c r="AQ271" s="9">
        <v>1.266043678055512</v>
      </c>
      <c r="AR271" s="9">
        <v>1.249810035910185</v>
      </c>
      <c r="AS271" s="9">
        <v>1.31805209048875</v>
      </c>
      <c r="AT271" s="9">
        <v>1.36396435235307</v>
      </c>
      <c r="AU271" s="9">
        <v>1.201292229669007</v>
      </c>
      <c r="AV271" s="9">
        <v>1.15945355487691</v>
      </c>
      <c r="AW271" s="9">
        <v>1.278699019242703</v>
      </c>
    </row>
    <row r="272" ht="15.0" customHeight="1">
      <c r="A272" s="5" t="s">
        <v>604</v>
      </c>
      <c r="B272" s="5" t="s">
        <v>605</v>
      </c>
      <c r="C272" s="5" t="s">
        <v>55</v>
      </c>
      <c r="D272" s="5" t="s">
        <v>56</v>
      </c>
      <c r="E272" s="5">
        <v>8.5</v>
      </c>
      <c r="F272" s="6"/>
      <c r="G272" s="5"/>
      <c r="H272" s="5">
        <v>3064.0</v>
      </c>
      <c r="I272" s="5" t="b">
        <v>0</v>
      </c>
      <c r="J272" s="5" t="b">
        <v>0</v>
      </c>
      <c r="K272" s="7">
        <v>23.98</v>
      </c>
      <c r="L272" s="8">
        <v>0.1088365517296793</v>
      </c>
      <c r="M272" s="9">
        <f t="shared" si="1"/>
        <v>1.687618481</v>
      </c>
      <c r="N272" s="7">
        <f t="shared" si="2"/>
        <v>57.37902835</v>
      </c>
      <c r="O272" s="9">
        <f t="shared" si="3"/>
        <v>6.750473924</v>
      </c>
      <c r="P272" s="9">
        <v>1.606165020728858</v>
      </c>
      <c r="Q272" s="9">
        <v>1.965184978784616</v>
      </c>
      <c r="R272" s="9">
        <v>1.667570149796177</v>
      </c>
      <c r="S272" s="9">
        <v>1.830493352568316</v>
      </c>
      <c r="T272" s="9">
        <v>1.556688871712979</v>
      </c>
      <c r="U272" s="9">
        <v>1.704345758621408</v>
      </c>
      <c r="V272" s="9">
        <v>1.683135314126919</v>
      </c>
      <c r="W272" s="9">
        <v>1.639288684967505</v>
      </c>
      <c r="X272" s="9">
        <v>1.691619020020098</v>
      </c>
      <c r="Y272" s="9">
        <v>1.461724083476265</v>
      </c>
      <c r="Z272" s="9">
        <v>1.87979808929536</v>
      </c>
      <c r="AA272" s="9">
        <v>1.569822879541022</v>
      </c>
      <c r="AB272" s="9">
        <v>1.844887415240689</v>
      </c>
      <c r="AC272" s="9">
        <v>1.681109647551214</v>
      </c>
      <c r="AD272" s="9">
        <v>1.684877525503288</v>
      </c>
      <c r="AE272" s="9">
        <v>1.538697667072944</v>
      </c>
      <c r="AF272" s="9">
        <v>1.556063100315275</v>
      </c>
      <c r="AG272" s="9">
        <v>1.599067090025182</v>
      </c>
      <c r="AH272" s="9">
        <v>1.646412208725745</v>
      </c>
      <c r="AI272" s="9">
        <v>1.921997105195057</v>
      </c>
      <c r="AJ272" s="9">
        <v>1.491943110149219</v>
      </c>
      <c r="AK272" s="9">
        <v>1.725465444531391</v>
      </c>
      <c r="AL272" s="9">
        <v>1.905057786450656</v>
      </c>
      <c r="AM272" s="9">
        <v>1.523363763298801</v>
      </c>
      <c r="AN272" s="9">
        <v>1.742946839565919</v>
      </c>
      <c r="AO272" s="9">
        <v>1.736793390442635</v>
      </c>
      <c r="AP272" s="9">
        <v>1.873048684124645</v>
      </c>
      <c r="AQ272" s="9">
        <v>1.672641068917432</v>
      </c>
      <c r="AR272" s="9">
        <v>1.635597755334417</v>
      </c>
      <c r="AS272" s="9">
        <v>1.791318314200544</v>
      </c>
      <c r="AT272" s="9">
        <v>1.896084841534343</v>
      </c>
      <c r="AU272" s="9">
        <v>1.524885673913472</v>
      </c>
      <c r="AV272" s="9">
        <v>1.429414606093516</v>
      </c>
      <c r="AW272" s="9">
        <v>1.701519109217964</v>
      </c>
    </row>
    <row r="273" ht="15.0" customHeight="1">
      <c r="A273" s="5" t="s">
        <v>606</v>
      </c>
      <c r="B273" s="5" t="s">
        <v>607</v>
      </c>
      <c r="C273" s="5" t="s">
        <v>92</v>
      </c>
      <c r="D273" s="5" t="s">
        <v>83</v>
      </c>
      <c r="E273" s="5">
        <v>4.5</v>
      </c>
      <c r="F273" s="6">
        <v>0.4090909091</v>
      </c>
      <c r="G273" s="5">
        <v>86.0</v>
      </c>
      <c r="H273" s="5">
        <v>991.0</v>
      </c>
      <c r="I273" s="5" t="b">
        <v>0</v>
      </c>
      <c r="J273" s="5" t="b">
        <v>0</v>
      </c>
      <c r="K273" s="7">
        <v>44.778181818816</v>
      </c>
      <c r="L273" s="8">
        <v>0.06652499338376593</v>
      </c>
      <c r="M273" s="9">
        <f t="shared" si="1"/>
        <v>1.090389709</v>
      </c>
      <c r="N273" s="7">
        <f t="shared" si="2"/>
        <v>37.0732501</v>
      </c>
      <c r="O273" s="9">
        <f t="shared" si="3"/>
        <v>8.238500023</v>
      </c>
      <c r="P273" s="9">
        <v>1.056364822540578</v>
      </c>
      <c r="Q273" s="9">
        <v>1.12287765709903</v>
      </c>
      <c r="R273" s="9">
        <v>1.085077729436512</v>
      </c>
      <c r="S273" s="9">
        <v>1.06881175915236</v>
      </c>
      <c r="T273" s="9">
        <v>1.084480891339142</v>
      </c>
      <c r="U273" s="9">
        <v>1.091840346505904</v>
      </c>
      <c r="V273" s="9">
        <v>1.092449627454497</v>
      </c>
      <c r="W273" s="9">
        <v>1.071619819225749</v>
      </c>
      <c r="X273" s="9">
        <v>1.071721008965874</v>
      </c>
      <c r="Y273" s="9">
        <v>1.118323867184004</v>
      </c>
      <c r="Z273" s="9">
        <v>1.053960114498569</v>
      </c>
      <c r="AA273" s="9">
        <v>1.12805365708546</v>
      </c>
      <c r="AB273" s="9">
        <v>1.100844630647174</v>
      </c>
      <c r="AC273" s="9">
        <v>1.10183966800418</v>
      </c>
      <c r="AD273" s="9">
        <v>1.130792812738692</v>
      </c>
      <c r="AE273" s="9">
        <v>1.066578304565666</v>
      </c>
      <c r="AF273" s="9">
        <v>1.109661529095517</v>
      </c>
      <c r="AG273" s="9">
        <v>1.051140250704998</v>
      </c>
      <c r="AH273" s="9">
        <v>1.078573736517395</v>
      </c>
      <c r="AI273" s="9">
        <v>1.086229631745439</v>
      </c>
      <c r="AJ273" s="9">
        <v>1.095597718685826</v>
      </c>
      <c r="AK273" s="9">
        <v>1.115996289626906</v>
      </c>
      <c r="AL273" s="9">
        <v>1.061251360127796</v>
      </c>
      <c r="AM273" s="9">
        <v>1.092167904900437</v>
      </c>
      <c r="AN273" s="9">
        <v>1.099012856444771</v>
      </c>
      <c r="AO273" s="9">
        <v>1.073844830610335</v>
      </c>
      <c r="AP273" s="9">
        <v>1.093539754105727</v>
      </c>
      <c r="AQ273" s="9">
        <v>1.0753730645081</v>
      </c>
      <c r="AR273" s="9">
        <v>1.089650955516973</v>
      </c>
      <c r="AS273" s="9">
        <v>1.095140638161515</v>
      </c>
      <c r="AT273" s="9">
        <v>1.066332205526691</v>
      </c>
      <c r="AU273" s="9">
        <v>1.137776464789811</v>
      </c>
      <c r="AV273" s="9">
        <v>1.126602695971585</v>
      </c>
      <c r="AW273" s="9">
        <v>1.079721500326943</v>
      </c>
    </row>
    <row r="274" ht="15.0" customHeight="1">
      <c r="A274" s="5" t="s">
        <v>608</v>
      </c>
      <c r="B274" s="5" t="s">
        <v>609</v>
      </c>
      <c r="C274" s="5" t="s">
        <v>92</v>
      </c>
      <c r="D274" s="5" t="s">
        <v>83</v>
      </c>
      <c r="E274" s="5">
        <v>4.5</v>
      </c>
      <c r="F274" s="6">
        <v>0.8275862069</v>
      </c>
      <c r="G274" s="10">
        <v>80.0</v>
      </c>
      <c r="H274" s="5">
        <v>2188.0</v>
      </c>
      <c r="I274" s="5" t="b">
        <v>1</v>
      </c>
      <c r="J274" s="5" t="b">
        <v>0</v>
      </c>
      <c r="K274" s="7">
        <v>69.006896551944</v>
      </c>
      <c r="L274" s="8">
        <v>0.05930194052147263</v>
      </c>
      <c r="M274" s="9">
        <f t="shared" si="1"/>
        <v>2.837295977</v>
      </c>
      <c r="N274" s="7">
        <f t="shared" si="2"/>
        <v>96.46806322</v>
      </c>
      <c r="O274" s="9">
        <f t="shared" si="3"/>
        <v>21.43734738</v>
      </c>
      <c r="P274" s="9">
        <v>2.239781118117715</v>
      </c>
      <c r="Q274" s="9">
        <v>3.556167364168469</v>
      </c>
      <c r="R274" s="9">
        <v>2.791996408094258</v>
      </c>
      <c r="S274" s="9">
        <v>2.4299347037774</v>
      </c>
      <c r="T274" s="9">
        <v>3.029917345285472</v>
      </c>
      <c r="U274" s="9">
        <v>2.863837739257968</v>
      </c>
      <c r="V274" s="9">
        <v>3.059099990981662</v>
      </c>
      <c r="W274" s="9">
        <v>2.710971949582548</v>
      </c>
      <c r="X274" s="9">
        <v>2.425310872871332</v>
      </c>
      <c r="Y274" s="9">
        <v>3.262432401550068</v>
      </c>
      <c r="Z274" s="9">
        <v>2.319266389079222</v>
      </c>
      <c r="AA274" s="9">
        <v>3.063192925032067</v>
      </c>
      <c r="AB274" s="9">
        <v>2.844974212383472</v>
      </c>
      <c r="AC274" s="9">
        <v>2.847820298251481</v>
      </c>
      <c r="AD274" s="9">
        <v>3.336288605107168</v>
      </c>
      <c r="AE274" s="9">
        <v>2.545120100207101</v>
      </c>
      <c r="AF274" s="9">
        <v>3.207875796649207</v>
      </c>
      <c r="AG274" s="9">
        <v>2.368929898646455</v>
      </c>
      <c r="AH274" s="9">
        <v>2.513064202614126</v>
      </c>
      <c r="AI274" s="9">
        <v>2.794282114964474</v>
      </c>
      <c r="AJ274" s="9">
        <v>2.853878051452772</v>
      </c>
      <c r="AK274" s="9">
        <v>3.530994061028736</v>
      </c>
      <c r="AL274" s="9">
        <v>2.427983870288727</v>
      </c>
      <c r="AM274" s="9">
        <v>2.948888379967897</v>
      </c>
      <c r="AN274" s="9">
        <v>2.786518917505126</v>
      </c>
      <c r="AO274" s="9">
        <v>2.469534176847149</v>
      </c>
      <c r="AP274" s="9">
        <v>2.631569784690306</v>
      </c>
      <c r="AQ274" s="9">
        <v>2.638008772641566</v>
      </c>
      <c r="AR274" s="9">
        <v>3.050132175799944</v>
      </c>
      <c r="AS274" s="9">
        <v>2.793567245837862</v>
      </c>
      <c r="AT274" s="9">
        <v>2.480883155385945</v>
      </c>
      <c r="AU274" s="9">
        <v>3.327756587775522</v>
      </c>
      <c r="AV274" s="9">
        <v>3.567616657392503</v>
      </c>
      <c r="AW274" s="9">
        <v>2.750466950446985</v>
      </c>
    </row>
    <row r="275" ht="15.0" customHeight="1">
      <c r="A275" s="5" t="s">
        <v>610</v>
      </c>
      <c r="B275" s="5" t="s">
        <v>611</v>
      </c>
      <c r="C275" s="5" t="s">
        <v>92</v>
      </c>
      <c r="D275" s="5" t="s">
        <v>83</v>
      </c>
      <c r="E275" s="5">
        <v>4.5</v>
      </c>
      <c r="F275" s="6"/>
      <c r="G275" s="5"/>
      <c r="H275" s="5">
        <v>1605.0</v>
      </c>
      <c r="I275" s="5" t="b">
        <v>1</v>
      </c>
      <c r="J275" s="5" t="b">
        <v>0</v>
      </c>
      <c r="K275" s="7">
        <v>80.76</v>
      </c>
      <c r="L275" s="8">
        <v>0.07150770754487336</v>
      </c>
      <c r="M275" s="9">
        <f t="shared" si="1"/>
        <v>3.338248967</v>
      </c>
      <c r="N275" s="7">
        <f t="shared" si="2"/>
        <v>113.5004649</v>
      </c>
      <c r="O275" s="9">
        <f t="shared" si="3"/>
        <v>25.22232553</v>
      </c>
      <c r="P275" s="9">
        <v>2.632533683541531</v>
      </c>
      <c r="Q275" s="9">
        <v>4.162142578180527</v>
      </c>
      <c r="R275" s="9">
        <v>3.276610004372314</v>
      </c>
      <c r="S275" s="9">
        <v>2.861941432001228</v>
      </c>
      <c r="T275" s="9">
        <v>3.515495177523625</v>
      </c>
      <c r="U275" s="9">
        <v>3.369416105361986</v>
      </c>
      <c r="V275" s="9">
        <v>3.568742509191933</v>
      </c>
      <c r="W275" s="9">
        <v>3.15457845284318</v>
      </c>
      <c r="X275" s="9">
        <v>2.865927168781161</v>
      </c>
      <c r="Y275" s="9">
        <v>3.851463288349043</v>
      </c>
      <c r="Z275" s="9">
        <v>2.705774344215013</v>
      </c>
      <c r="AA275" s="9">
        <v>3.678900385609163</v>
      </c>
      <c r="AB275" s="9">
        <v>3.377147195776698</v>
      </c>
      <c r="AC275" s="9">
        <v>3.382988988872833</v>
      </c>
      <c r="AD275" s="9">
        <v>3.963299158287684</v>
      </c>
      <c r="AE275" s="9">
        <v>2.971803511295775</v>
      </c>
      <c r="AF275" s="9">
        <v>3.770484294955775</v>
      </c>
      <c r="AG275" s="9">
        <v>2.74761341801514</v>
      </c>
      <c r="AH275" s="9">
        <v>2.975096934887758</v>
      </c>
      <c r="AI275" s="9">
        <v>3.282352056805646</v>
      </c>
      <c r="AJ275" s="9">
        <v>3.370529948965642</v>
      </c>
      <c r="AK275" s="9">
        <v>4.116188633874682</v>
      </c>
      <c r="AL275" s="9">
        <v>2.837455591565231</v>
      </c>
      <c r="AM275" s="9">
        <v>3.456422106428957</v>
      </c>
      <c r="AN275" s="9">
        <v>3.312563895260996</v>
      </c>
      <c r="AO275" s="9">
        <v>2.916984117712101</v>
      </c>
      <c r="AP275" s="9">
        <v>3.139532161875963</v>
      </c>
      <c r="AQ275" s="9">
        <v>3.091950563338141</v>
      </c>
      <c r="AR275" s="9">
        <v>3.551337783783707</v>
      </c>
      <c r="AS275" s="9">
        <v>3.308163170000416</v>
      </c>
      <c r="AT275" s="9">
        <v>2.906093591901871</v>
      </c>
      <c r="AU275" s="9">
        <v>3.975463985648326</v>
      </c>
      <c r="AV275" s="9">
        <v>4.184815808414278</v>
      </c>
      <c r="AW275" s="9">
        <v>3.218652832431481</v>
      </c>
    </row>
    <row r="276" ht="15.0" customHeight="1">
      <c r="A276" s="5" t="s">
        <v>612</v>
      </c>
      <c r="B276" s="5" t="s">
        <v>613</v>
      </c>
      <c r="C276" s="5" t="s">
        <v>92</v>
      </c>
      <c r="D276" s="5" t="s">
        <v>83</v>
      </c>
      <c r="E276" s="5">
        <v>4.5</v>
      </c>
      <c r="F276" s="6"/>
      <c r="G276" s="5"/>
      <c r="H276" s="5">
        <v>3466.0</v>
      </c>
      <c r="I276" s="5" t="b">
        <v>0</v>
      </c>
      <c r="J276" s="5" t="b">
        <v>0</v>
      </c>
      <c r="K276" s="7">
        <v>16.24</v>
      </c>
      <c r="L276" s="8">
        <v>0.06495118360388293</v>
      </c>
      <c r="M276" s="9">
        <f t="shared" si="1"/>
        <v>1.134839902</v>
      </c>
      <c r="N276" s="7">
        <f t="shared" si="2"/>
        <v>38.58455667</v>
      </c>
      <c r="O276" s="9">
        <f t="shared" si="3"/>
        <v>8.574345927</v>
      </c>
      <c r="P276" s="9">
        <v>1.104857983391355</v>
      </c>
      <c r="Q276" s="9">
        <v>1.163467507484122</v>
      </c>
      <c r="R276" s="9">
        <v>1.130159112408969</v>
      </c>
      <c r="S276" s="9">
        <v>1.115825927188552</v>
      </c>
      <c r="T276" s="9">
        <v>1.129633192906673</v>
      </c>
      <c r="U276" s="9">
        <v>1.136118169344219</v>
      </c>
      <c r="V276" s="9">
        <v>1.136655053190365</v>
      </c>
      <c r="W276" s="9">
        <v>1.118300322778783</v>
      </c>
      <c r="X276" s="9">
        <v>1.118389488765336</v>
      </c>
      <c r="Y276" s="9">
        <v>1.159454816377061</v>
      </c>
      <c r="Z276" s="9">
        <v>1.102739011994934</v>
      </c>
      <c r="AA276" s="9">
        <v>1.168028475272109</v>
      </c>
      <c r="AB276" s="9">
        <v>1.14405252986004</v>
      </c>
      <c r="AC276" s="9">
        <v>1.144929333056533</v>
      </c>
      <c r="AD276" s="9">
        <v>1.170442153930035</v>
      </c>
      <c r="AE276" s="9">
        <v>1.113857860254134</v>
      </c>
      <c r="AF276" s="9">
        <v>1.15182177057068</v>
      </c>
      <c r="AG276" s="9">
        <v>1.100254215247889</v>
      </c>
      <c r="AH276" s="9">
        <v>1.124427948909131</v>
      </c>
      <c r="AI276" s="9">
        <v>1.131174141261306</v>
      </c>
      <c r="AJ276" s="9">
        <v>1.139429076130353</v>
      </c>
      <c r="AK276" s="9">
        <v>1.15740381052509</v>
      </c>
      <c r="AL276" s="9">
        <v>1.109163883814176</v>
      </c>
      <c r="AM276" s="9">
        <v>1.136406805992223</v>
      </c>
      <c r="AN276" s="9">
        <v>1.14243841410387</v>
      </c>
      <c r="AO276" s="9">
        <v>1.120260949764797</v>
      </c>
      <c r="AP276" s="9">
        <v>1.137615646805922</v>
      </c>
      <c r="AQ276" s="9">
        <v>1.121607593041168</v>
      </c>
      <c r="AR276" s="9">
        <v>1.134188930201637</v>
      </c>
      <c r="AS276" s="9">
        <v>1.139026307669503</v>
      </c>
      <c r="AT276" s="9">
        <v>1.11364100364819</v>
      </c>
      <c r="AU276" s="9">
        <v>1.176595981621529</v>
      </c>
      <c r="AV276" s="9">
        <v>1.166749922930657</v>
      </c>
      <c r="AW276" s="9">
        <v>1.125439331014481</v>
      </c>
    </row>
    <row r="277" ht="15.0" customHeight="1">
      <c r="A277" s="5" t="s">
        <v>614</v>
      </c>
      <c r="B277" s="5" t="s">
        <v>615</v>
      </c>
      <c r="C277" s="5" t="s">
        <v>92</v>
      </c>
      <c r="D277" s="5" t="s">
        <v>52</v>
      </c>
      <c r="E277" s="5">
        <v>4.5</v>
      </c>
      <c r="F277" s="6"/>
      <c r="G277" s="10"/>
      <c r="H277" s="5">
        <v>1193.0</v>
      </c>
      <c r="I277" s="5" t="b">
        <v>0</v>
      </c>
      <c r="J277" s="5" t="b">
        <v>0</v>
      </c>
      <c r="K277" s="7">
        <v>22.95</v>
      </c>
      <c r="L277" s="8">
        <v>0.05197656435543879</v>
      </c>
      <c r="M277" s="9">
        <f t="shared" si="1"/>
        <v>1.322100507</v>
      </c>
      <c r="N277" s="7">
        <f t="shared" si="2"/>
        <v>44.95141725</v>
      </c>
      <c r="O277" s="9">
        <f t="shared" si="3"/>
        <v>9.989203832</v>
      </c>
      <c r="P277" s="9">
        <v>1.22398895680077</v>
      </c>
      <c r="Q277" s="9">
        <v>1.415780260577782</v>
      </c>
      <c r="R277" s="9">
        <v>1.306783290937285</v>
      </c>
      <c r="S277" s="9">
        <v>1.259879987707078</v>
      </c>
      <c r="T277" s="9">
        <v>1.305062294416864</v>
      </c>
      <c r="U277" s="9">
        <v>1.32628345437632</v>
      </c>
      <c r="V277" s="9">
        <v>1.328040330147333</v>
      </c>
      <c r="W277" s="9">
        <v>1.267977094169831</v>
      </c>
      <c r="X277" s="9">
        <v>1.268268877136478</v>
      </c>
      <c r="Y277" s="9">
        <v>1.402649301557205</v>
      </c>
      <c r="Z277" s="9">
        <v>1.217054925291787</v>
      </c>
      <c r="AA277" s="9">
        <v>1.430705376795388</v>
      </c>
      <c r="AB277" s="9">
        <v>1.352247516898948</v>
      </c>
      <c r="AC277" s="9">
        <v>1.355116730236102</v>
      </c>
      <c r="AD277" s="9">
        <v>1.438603795761727</v>
      </c>
      <c r="AE277" s="9">
        <v>1.253439769515318</v>
      </c>
      <c r="AF277" s="9">
        <v>1.37767124842239</v>
      </c>
      <c r="AG277" s="9">
        <v>1.208923782527645</v>
      </c>
      <c r="AH277" s="9">
        <v>1.288028876244317</v>
      </c>
      <c r="AI277" s="9">
        <v>1.310104828007826</v>
      </c>
      <c r="AJ277" s="9">
        <v>1.337117924354131</v>
      </c>
      <c r="AK277" s="9">
        <v>1.395937677593478</v>
      </c>
      <c r="AL277" s="9">
        <v>1.238079401465013</v>
      </c>
      <c r="AM277" s="9">
        <v>1.327227976617293</v>
      </c>
      <c r="AN277" s="9">
        <v>1.346965553427742</v>
      </c>
      <c r="AO277" s="9">
        <v>1.274392966192146</v>
      </c>
      <c r="AP277" s="9">
        <v>1.331183735673641</v>
      </c>
      <c r="AQ277" s="9">
        <v>1.278799664142617</v>
      </c>
      <c r="AR277" s="9">
        <v>1.319970294592463</v>
      </c>
      <c r="AS277" s="9">
        <v>1.33579992204269</v>
      </c>
      <c r="AT277" s="9">
        <v>1.252730137218685</v>
      </c>
      <c r="AU277" s="9">
        <v>1.458741318705995</v>
      </c>
      <c r="AV277" s="9">
        <v>1.426521496712586</v>
      </c>
      <c r="AW277" s="9">
        <v>1.291338479855749</v>
      </c>
    </row>
    <row r="278" ht="15.0" customHeight="1">
      <c r="A278" s="5" t="s">
        <v>616</v>
      </c>
      <c r="B278" s="5" t="s">
        <v>617</v>
      </c>
      <c r="C278" s="5" t="s">
        <v>92</v>
      </c>
      <c r="D278" s="5" t="s">
        <v>52</v>
      </c>
      <c r="E278" s="5">
        <v>5.5</v>
      </c>
      <c r="F278" s="6"/>
      <c r="G278" s="5"/>
      <c r="H278" s="5">
        <v>3112.0</v>
      </c>
      <c r="I278" s="5" t="b">
        <v>0</v>
      </c>
      <c r="J278" s="5" t="b">
        <v>0</v>
      </c>
      <c r="K278" s="7">
        <v>22.95</v>
      </c>
      <c r="L278" s="8">
        <v>0.0530497130564703</v>
      </c>
      <c r="M278" s="9">
        <f t="shared" si="1"/>
        <v>1.092840515</v>
      </c>
      <c r="N278" s="7">
        <f t="shared" si="2"/>
        <v>37.1565775</v>
      </c>
      <c r="O278" s="9">
        <f t="shared" si="3"/>
        <v>6.755741363</v>
      </c>
      <c r="P278" s="9">
        <v>0.0</v>
      </c>
      <c r="Q278" s="9">
        <v>0.0</v>
      </c>
      <c r="R278" s="9">
        <v>1.153424419450731</v>
      </c>
      <c r="S278" s="9">
        <v>1.130000771087316</v>
      </c>
      <c r="T278" s="9">
        <v>1.152564948698083</v>
      </c>
      <c r="U278" s="9">
        <v>1.163162858749628</v>
      </c>
      <c r="V278" s="9">
        <v>1.164040247706146</v>
      </c>
      <c r="W278" s="9">
        <v>1.134044490004378</v>
      </c>
      <c r="X278" s="9">
        <v>1.134190207280955</v>
      </c>
      <c r="Y278" s="9">
        <v>1.201300188706112</v>
      </c>
      <c r="Z278" s="9">
        <v>1.10861380824946</v>
      </c>
      <c r="AA278" s="9">
        <v>1.215311475664116</v>
      </c>
      <c r="AB278" s="9">
        <v>1.176129388369744</v>
      </c>
      <c r="AC278" s="9">
        <v>1.177562281996858</v>
      </c>
      <c r="AD278" s="9">
        <v>1.219255969457792</v>
      </c>
      <c r="AE278" s="9">
        <v>1.12678450707352</v>
      </c>
      <c r="AF278" s="9">
        <v>1.18882607509068</v>
      </c>
      <c r="AG278" s="9">
        <v>1.104553091502813</v>
      </c>
      <c r="AH278" s="9">
        <v>1.144058409281392</v>
      </c>
      <c r="AI278" s="9">
        <v>1.155083204888179</v>
      </c>
      <c r="AJ278" s="9">
        <v>1.168573625102663</v>
      </c>
      <c r="AK278" s="9">
        <v>1.197948383847033</v>
      </c>
      <c r="AL278" s="9">
        <v>1.119113493836413</v>
      </c>
      <c r="AM278" s="9">
        <v>1.163634555950471</v>
      </c>
      <c r="AN278" s="9">
        <v>1.173491560189271</v>
      </c>
      <c r="AO278" s="9">
        <v>1.137248595469142</v>
      </c>
      <c r="AP278" s="9">
        <v>1.165610073723527</v>
      </c>
      <c r="AQ278" s="9">
        <v>1.139449313459706</v>
      </c>
      <c r="AR278" s="9">
        <v>1.160010048080551</v>
      </c>
      <c r="AS278" s="9">
        <v>1.167915410849952</v>
      </c>
      <c r="AT278" s="9">
        <v>1.126430114605636</v>
      </c>
      <c r="AU278" s="9">
        <v>1.229312707978779</v>
      </c>
      <c r="AV278" s="9">
        <v>1.213222033575715</v>
      </c>
      <c r="AW278" s="9">
        <v>1.145711235114063</v>
      </c>
    </row>
    <row r="279" ht="15.0" customHeight="1">
      <c r="A279" s="5" t="s">
        <v>618</v>
      </c>
      <c r="B279" s="5" t="s">
        <v>619</v>
      </c>
      <c r="C279" s="5" t="s">
        <v>92</v>
      </c>
      <c r="D279" s="5" t="s">
        <v>56</v>
      </c>
      <c r="E279" s="5">
        <v>6.0</v>
      </c>
      <c r="F279" s="6"/>
      <c r="G279" s="5"/>
      <c r="H279" s="5">
        <v>1319.0</v>
      </c>
      <c r="I279" s="5" t="b">
        <v>1</v>
      </c>
      <c r="J279" s="5" t="b">
        <v>0</v>
      </c>
      <c r="K279" s="7">
        <v>73.02</v>
      </c>
      <c r="L279" s="8">
        <v>0.03331360303081642</v>
      </c>
      <c r="M279" s="9">
        <f t="shared" si="1"/>
        <v>2.532503719</v>
      </c>
      <c r="N279" s="7">
        <f t="shared" si="2"/>
        <v>86.10512646</v>
      </c>
      <c r="O279" s="9">
        <f t="shared" si="3"/>
        <v>14.35085441</v>
      </c>
      <c r="P279" s="9">
        <v>2.241608762749808</v>
      </c>
      <c r="Q279" s="9">
        <v>2.81025865904176</v>
      </c>
      <c r="R279" s="9">
        <v>2.487089076992989</v>
      </c>
      <c r="S279" s="9">
        <v>2.348023551120049</v>
      </c>
      <c r="T279" s="9">
        <v>2.481986423882118</v>
      </c>
      <c r="U279" s="9">
        <v>2.544905910701862</v>
      </c>
      <c r="V279" s="9">
        <v>2.55011494367317</v>
      </c>
      <c r="W279" s="9">
        <v>2.37203099389578</v>
      </c>
      <c r="X279" s="9">
        <v>2.372896113171034</v>
      </c>
      <c r="Y279" s="9">
        <v>2.77132614052702</v>
      </c>
      <c r="Z279" s="9">
        <v>2.221049768568024</v>
      </c>
      <c r="AA279" s="9">
        <v>2.854510747755618</v>
      </c>
      <c r="AB279" s="9">
        <v>2.621887823698168</v>
      </c>
      <c r="AC279" s="9">
        <v>2.630394871903594</v>
      </c>
      <c r="AD279" s="9">
        <v>2.877929093830898</v>
      </c>
      <c r="AE279" s="9">
        <v>2.328928684279267</v>
      </c>
      <c r="AF279" s="9">
        <v>2.697267687171899</v>
      </c>
      <c r="AG279" s="9">
        <v>2.196941410167478</v>
      </c>
      <c r="AH279" s="9">
        <v>2.431483344302567</v>
      </c>
      <c r="AI279" s="9">
        <v>2.496937238372034</v>
      </c>
      <c r="AJ279" s="9">
        <v>2.577029474742198</v>
      </c>
      <c r="AK279" s="9">
        <v>2.751426571590558</v>
      </c>
      <c r="AL279" s="9">
        <v>2.283386099569758</v>
      </c>
      <c r="AM279" s="9">
        <v>2.547706363401216</v>
      </c>
      <c r="AN279" s="9">
        <v>2.606227113744337</v>
      </c>
      <c r="AO279" s="9">
        <v>2.391053675781054</v>
      </c>
      <c r="AP279" s="9">
        <v>2.559434955536777</v>
      </c>
      <c r="AQ279" s="9">
        <v>2.404119275123547</v>
      </c>
      <c r="AR279" s="9">
        <v>2.526187764541602</v>
      </c>
      <c r="AS279" s="9">
        <v>2.573121675676476</v>
      </c>
      <c r="AT279" s="9">
        <v>2.326824666401819</v>
      </c>
      <c r="AU279" s="9">
        <v>2.93763566085621</v>
      </c>
      <c r="AV279" s="9">
        <v>2.842105790240186</v>
      </c>
      <c r="AW279" s="9">
        <v>2.441296123679658</v>
      </c>
    </row>
    <row r="280" ht="15.0" customHeight="1">
      <c r="A280" s="5" t="s">
        <v>620</v>
      </c>
      <c r="B280" s="5" t="s">
        <v>621</v>
      </c>
      <c r="C280" s="5" t="s">
        <v>92</v>
      </c>
      <c r="D280" s="5" t="s">
        <v>56</v>
      </c>
      <c r="E280" s="5">
        <v>6.5</v>
      </c>
      <c r="F280" s="6"/>
      <c r="G280" s="5"/>
      <c r="H280" s="5">
        <v>773.0</v>
      </c>
      <c r="I280" s="5" t="b">
        <v>1</v>
      </c>
      <c r="J280" s="5" t="b">
        <v>0</v>
      </c>
      <c r="K280" s="7">
        <v>73.02</v>
      </c>
      <c r="L280" s="8">
        <v>0.1399851339638611</v>
      </c>
      <c r="M280" s="9">
        <f t="shared" si="1"/>
        <v>3.318853069</v>
      </c>
      <c r="N280" s="7">
        <f t="shared" si="2"/>
        <v>112.8410043</v>
      </c>
      <c r="O280" s="9">
        <f t="shared" si="3"/>
        <v>17.36015451</v>
      </c>
      <c r="P280" s="9">
        <v>2.877324911400672</v>
      </c>
      <c r="Q280" s="9">
        <v>3.740436956437177</v>
      </c>
      <c r="R280" s="9">
        <v>3.2499215080487</v>
      </c>
      <c r="S280" s="9">
        <v>3.038844127725666</v>
      </c>
      <c r="T280" s="9">
        <v>3.242176564472074</v>
      </c>
      <c r="U280" s="9">
        <v>3.337677446993567</v>
      </c>
      <c r="V280" s="9">
        <v>3.345583856771964</v>
      </c>
      <c r="W280" s="9">
        <v>3.075283267458877</v>
      </c>
      <c r="X280" s="9">
        <v>3.076596368668837</v>
      </c>
      <c r="Y280" s="9">
        <v>3.681344136948773</v>
      </c>
      <c r="Z280" s="9">
        <v>2.846119919317065</v>
      </c>
      <c r="AA280" s="9">
        <v>3.807603962069312</v>
      </c>
      <c r="AB280" s="9">
        <v>3.454522656656545</v>
      </c>
      <c r="AC280" s="9">
        <v>3.467434882301337</v>
      </c>
      <c r="AD280" s="9">
        <v>3.843148955050424</v>
      </c>
      <c r="AE280" s="9">
        <v>3.009861427339864</v>
      </c>
      <c r="AF280" s="9">
        <v>3.568936232640001</v>
      </c>
      <c r="AG280" s="9">
        <v>2.80952760714528</v>
      </c>
      <c r="AH280" s="9">
        <v>3.165521637458478</v>
      </c>
      <c r="AI280" s="9">
        <v>3.264869311192856</v>
      </c>
      <c r="AJ280" s="9">
        <v>3.386435452989017</v>
      </c>
      <c r="AK280" s="9">
        <v>3.651140038166567</v>
      </c>
      <c r="AL280" s="9">
        <v>2.940735672316968</v>
      </c>
      <c r="AM280" s="9">
        <v>3.34192804911647</v>
      </c>
      <c r="AN280" s="9">
        <v>3.430752411584637</v>
      </c>
      <c r="AO280" s="9">
        <v>3.104156403585587</v>
      </c>
      <c r="AP280" s="9">
        <v>3.35973002043403</v>
      </c>
      <c r="AQ280" s="9">
        <v>3.123987720256288</v>
      </c>
      <c r="AR280" s="9">
        <v>3.309266543347891</v>
      </c>
      <c r="AS280" s="9">
        <v>3.380504090888714</v>
      </c>
      <c r="AT280" s="9">
        <v>3.006667892645073</v>
      </c>
      <c r="AU280" s="9">
        <v>3.933773181843334</v>
      </c>
      <c r="AV280" s="9">
        <v>3.788775385260361</v>
      </c>
      <c r="AW280" s="9">
        <v>3.18041573685229</v>
      </c>
    </row>
    <row r="281" ht="15.0" customHeight="1">
      <c r="A281" s="5" t="s">
        <v>622</v>
      </c>
      <c r="B281" s="5" t="s">
        <v>623</v>
      </c>
      <c r="C281" s="5" t="s">
        <v>131</v>
      </c>
      <c r="D281" s="5" t="s">
        <v>103</v>
      </c>
      <c r="E281" s="5">
        <v>4.5</v>
      </c>
      <c r="F281" s="6"/>
      <c r="G281" s="10"/>
      <c r="H281" s="5">
        <v>3310.0</v>
      </c>
      <c r="I281" s="5" t="b">
        <v>1</v>
      </c>
      <c r="J281" s="5" t="b">
        <v>0</v>
      </c>
      <c r="K281" s="7">
        <v>90.0</v>
      </c>
      <c r="L281" s="8">
        <v>0.07766049836057483</v>
      </c>
      <c r="M281" s="9">
        <f t="shared" si="1"/>
        <v>3.750532028</v>
      </c>
      <c r="N281" s="7">
        <f t="shared" si="2"/>
        <v>127.5180889</v>
      </c>
      <c r="O281" s="9">
        <f t="shared" si="3"/>
        <v>28.3373531</v>
      </c>
      <c r="P281" s="9">
        <v>3.963405163871252</v>
      </c>
      <c r="Q281" s="9">
        <v>3.665371783865691</v>
      </c>
      <c r="R281" s="9">
        <v>3.958384262225524</v>
      </c>
      <c r="S281" s="9">
        <v>3.670308024154328</v>
      </c>
      <c r="T281" s="9">
        <v>3.68325895788528</v>
      </c>
      <c r="U281" s="9">
        <v>3.717526631219539</v>
      </c>
      <c r="V281" s="9">
        <v>3.667988023247887</v>
      </c>
      <c r="W281" s="9">
        <v>3.829905094785558</v>
      </c>
      <c r="X281" s="9">
        <v>3.731685609591862</v>
      </c>
      <c r="Y281" s="9">
        <v>3.767188442211394</v>
      </c>
      <c r="Z281" s="9">
        <v>3.79244012158036</v>
      </c>
      <c r="AA281" s="9">
        <v>3.722770910307177</v>
      </c>
      <c r="AB281" s="9">
        <v>3.867869674847344</v>
      </c>
      <c r="AC281" s="9">
        <v>3.670357774986263</v>
      </c>
      <c r="AD281" s="9">
        <v>3.711962314422339</v>
      </c>
      <c r="AE281" s="9">
        <v>3.671332472137241</v>
      </c>
      <c r="AF281" s="9">
        <v>3.736550278685796</v>
      </c>
      <c r="AG281" s="9">
        <v>3.668876060800831</v>
      </c>
      <c r="AH281" s="9">
        <v>3.722898553354611</v>
      </c>
      <c r="AI281" s="9">
        <v>3.96230694424435</v>
      </c>
      <c r="AJ281" s="9">
        <v>3.789996268035466</v>
      </c>
      <c r="AK281" s="9">
        <v>3.858802959932973</v>
      </c>
      <c r="AL281" s="9">
        <v>3.674587272564343</v>
      </c>
      <c r="AM281" s="9">
        <v>3.686466533764732</v>
      </c>
      <c r="AN281" s="9">
        <v>3.842221333209451</v>
      </c>
      <c r="AO281" s="9">
        <v>3.695346860905952</v>
      </c>
      <c r="AP281" s="9">
        <v>3.667583931384991</v>
      </c>
      <c r="AQ281" s="9">
        <v>3.713804823370071</v>
      </c>
      <c r="AR281" s="9">
        <v>3.716326058125502</v>
      </c>
      <c r="AS281" s="9">
        <v>3.759502829608052</v>
      </c>
      <c r="AT281" s="9">
        <v>3.674844752740706</v>
      </c>
      <c r="AU281" s="9">
        <v>3.736667860047221</v>
      </c>
      <c r="AV281" s="9">
        <v>3.72642422348121</v>
      </c>
      <c r="AW281" s="9">
        <v>3.793126142367798</v>
      </c>
    </row>
    <row r="282" ht="15.0" customHeight="1">
      <c r="A282" s="5" t="s">
        <v>624</v>
      </c>
      <c r="B282" s="5" t="s">
        <v>625</v>
      </c>
      <c r="C282" s="5" t="s">
        <v>131</v>
      </c>
      <c r="D282" s="5" t="s">
        <v>83</v>
      </c>
      <c r="E282" s="5">
        <v>4.5</v>
      </c>
      <c r="F282" s="6">
        <v>0.4516129032</v>
      </c>
      <c r="G282" s="5">
        <v>79.0</v>
      </c>
      <c r="H282" s="5">
        <v>1239.0</v>
      </c>
      <c r="I282" s="5" t="b">
        <v>0</v>
      </c>
      <c r="J282" s="5" t="b">
        <v>0</v>
      </c>
      <c r="K282" s="7">
        <v>44.583225804832</v>
      </c>
      <c r="L282" s="8">
        <v>0.06725454572715846</v>
      </c>
      <c r="M282" s="9">
        <f t="shared" si="1"/>
        <v>1.096553586</v>
      </c>
      <c r="N282" s="7">
        <f t="shared" si="2"/>
        <v>37.28282192</v>
      </c>
      <c r="O282" s="9">
        <f t="shared" si="3"/>
        <v>8.285071537</v>
      </c>
      <c r="P282" s="9">
        <v>1.157484524577057</v>
      </c>
      <c r="Q282" s="9">
        <v>1.037612429359546</v>
      </c>
      <c r="R282" s="9">
        <v>1.139982225987389</v>
      </c>
      <c r="S282" s="9">
        <v>1.049644172623594</v>
      </c>
      <c r="T282" s="9">
        <v>1.05843449887476</v>
      </c>
      <c r="U282" s="9">
        <v>1.105567003020524</v>
      </c>
      <c r="V282" s="9">
        <v>1.066920799045223</v>
      </c>
      <c r="W282" s="9">
        <v>1.12952883897662</v>
      </c>
      <c r="X282" s="9">
        <v>1.106321260358592</v>
      </c>
      <c r="Y282" s="9">
        <v>1.159878846822666</v>
      </c>
      <c r="Z282" s="9">
        <v>1.096508132213118</v>
      </c>
      <c r="AA282" s="9">
        <v>1.090862390547624</v>
      </c>
      <c r="AB282" s="9">
        <v>1.153138600963549</v>
      </c>
      <c r="AC282" s="9">
        <v>1.041580589432288</v>
      </c>
      <c r="AD282" s="9">
        <v>1.066753819486988</v>
      </c>
      <c r="AE282" s="9">
        <v>1.070425450796679</v>
      </c>
      <c r="AF282" s="9">
        <v>1.100120984066284</v>
      </c>
      <c r="AG282" s="9">
        <v>1.062120062843597</v>
      </c>
      <c r="AH282" s="9">
        <v>1.088961564056371</v>
      </c>
      <c r="AI282" s="9">
        <v>1.151337603510028</v>
      </c>
      <c r="AJ282" s="9">
        <v>1.087976683951801</v>
      </c>
      <c r="AK282" s="9">
        <v>1.164398899946077</v>
      </c>
      <c r="AL282" s="9">
        <v>1.05802839536309</v>
      </c>
      <c r="AM282" s="9">
        <v>1.102925283493542</v>
      </c>
      <c r="AN282" s="9">
        <v>1.143823108193017</v>
      </c>
      <c r="AO282" s="9">
        <v>1.072947285725902</v>
      </c>
      <c r="AP282" s="9">
        <v>1.032959194654653</v>
      </c>
      <c r="AQ282" s="9">
        <v>1.111956794095415</v>
      </c>
      <c r="AR282" s="9">
        <v>1.080122913325497</v>
      </c>
      <c r="AS282" s="9">
        <v>1.100661508786945</v>
      </c>
      <c r="AT282" s="9">
        <v>1.078228916032512</v>
      </c>
      <c r="AU282" s="9">
        <v>1.097861245886605</v>
      </c>
      <c r="AV282" s="9">
        <v>1.116621493745956</v>
      </c>
      <c r="AW282" s="9">
        <v>1.101126396902708</v>
      </c>
    </row>
    <row r="283" ht="15.0" customHeight="1">
      <c r="A283" s="5" t="s">
        <v>626</v>
      </c>
      <c r="B283" s="5" t="s">
        <v>627</v>
      </c>
      <c r="C283" s="5" t="s">
        <v>131</v>
      </c>
      <c r="D283" s="5" t="s">
        <v>83</v>
      </c>
      <c r="E283" s="5">
        <v>4.0</v>
      </c>
      <c r="F283" s="6">
        <v>0.07142857143</v>
      </c>
      <c r="G283" s="5">
        <v>21.0</v>
      </c>
      <c r="H283" s="5">
        <v>511.0</v>
      </c>
      <c r="I283" s="5" t="b">
        <v>0</v>
      </c>
      <c r="J283" s="5" t="b">
        <v>0</v>
      </c>
      <c r="K283" s="7">
        <v>16.5800000000068</v>
      </c>
      <c r="L283" s="8">
        <v>0.06008562144590589</v>
      </c>
      <c r="M283" s="9">
        <f t="shared" si="1"/>
        <v>1.043899948</v>
      </c>
      <c r="N283" s="7">
        <f t="shared" si="2"/>
        <v>35.49259825</v>
      </c>
      <c r="O283" s="9">
        <f t="shared" si="3"/>
        <v>8.873149562</v>
      </c>
      <c r="P283" s="9">
        <v>1.063083377189388</v>
      </c>
      <c r="Q283" s="9">
        <v>1.025342980486298</v>
      </c>
      <c r="R283" s="9">
        <v>1.05757297303076</v>
      </c>
      <c r="S283" s="9">
        <v>1.02913104111034</v>
      </c>
      <c r="T283" s="9">
        <v>1.031898577618871</v>
      </c>
      <c r="U283" s="9">
        <v>1.046737722632926</v>
      </c>
      <c r="V283" s="9">
        <v>1.034570394895391</v>
      </c>
      <c r="W283" s="9">
        <v>1.054281840328345</v>
      </c>
      <c r="X283" s="9">
        <v>1.046975192171631</v>
      </c>
      <c r="Y283" s="9">
        <v>1.063837202933573</v>
      </c>
      <c r="Z283" s="9">
        <v>1.043885637855954</v>
      </c>
      <c r="AA283" s="9">
        <v>1.042108138849598</v>
      </c>
      <c r="AB283" s="9">
        <v>1.061715111448162</v>
      </c>
      <c r="AC283" s="9">
        <v>1.026592311575864</v>
      </c>
      <c r="AD283" s="9">
        <v>1.034517823237595</v>
      </c>
      <c r="AE283" s="9">
        <v>1.035673795542273</v>
      </c>
      <c r="AF283" s="9">
        <v>1.045023104102127</v>
      </c>
      <c r="AG283" s="9">
        <v>1.033058936466409</v>
      </c>
      <c r="AH283" s="9">
        <v>1.041509684758065</v>
      </c>
      <c r="AI283" s="9">
        <v>1.061148087419477</v>
      </c>
      <c r="AJ283" s="9">
        <v>1.041199606204887</v>
      </c>
      <c r="AK283" s="9">
        <v>1.0652602914154</v>
      </c>
      <c r="AL283" s="9">
        <v>1.031770720442394</v>
      </c>
      <c r="AM283" s="9">
        <v>1.045906006604723</v>
      </c>
      <c r="AN283" s="9">
        <v>1.058782232098663</v>
      </c>
      <c r="AO283" s="9">
        <v>1.036467767237487</v>
      </c>
      <c r="AP283" s="9">
        <v>1.023877961263962</v>
      </c>
      <c r="AQ283" s="9">
        <v>1.048749477325114</v>
      </c>
      <c r="AR283" s="9">
        <v>1.038726933824263</v>
      </c>
      <c r="AS283" s="9">
        <v>1.045193282302054</v>
      </c>
      <c r="AT283" s="9">
        <v>1.038130629829892</v>
      </c>
      <c r="AU283" s="9">
        <v>1.044311650655089</v>
      </c>
      <c r="AV283" s="9">
        <v>1.050218106158144</v>
      </c>
      <c r="AW283" s="9">
        <v>1.045339647157691</v>
      </c>
    </row>
    <row r="284" ht="15.0" customHeight="1">
      <c r="A284" s="5" t="s">
        <v>628</v>
      </c>
      <c r="B284" s="5" t="s">
        <v>629</v>
      </c>
      <c r="C284" s="5" t="s">
        <v>131</v>
      </c>
      <c r="D284" s="5" t="s">
        <v>83</v>
      </c>
      <c r="E284" s="5">
        <v>4.0</v>
      </c>
      <c r="F284" s="6">
        <v>0.2222222222</v>
      </c>
      <c r="G284" s="10">
        <v>80.0</v>
      </c>
      <c r="H284" s="5">
        <v>746.0</v>
      </c>
      <c r="I284" s="5" t="b">
        <v>0</v>
      </c>
      <c r="J284" s="5" t="b">
        <v>0</v>
      </c>
      <c r="K284" s="7">
        <v>30.408888887472</v>
      </c>
      <c r="L284" s="8">
        <v>0.07610240144714812</v>
      </c>
      <c r="M284" s="9">
        <f t="shared" si="1"/>
        <v>1.19306425</v>
      </c>
      <c r="N284" s="7">
        <f t="shared" si="2"/>
        <v>40.56418449</v>
      </c>
      <c r="O284" s="9">
        <f t="shared" si="3"/>
        <v>10.14104612</v>
      </c>
      <c r="P284" s="9">
        <v>1.236074733718366</v>
      </c>
      <c r="Q284" s="9">
        <v>1.151458331549863</v>
      </c>
      <c r="R284" s="9">
        <v>1.223720052391996</v>
      </c>
      <c r="S284" s="9">
        <v>1.159951407648779</v>
      </c>
      <c r="T284" s="9">
        <v>1.166156402897351</v>
      </c>
      <c r="U284" s="9">
        <v>1.199426722555733</v>
      </c>
      <c r="V284" s="9">
        <v>1.172146789457655</v>
      </c>
      <c r="W284" s="9">
        <v>1.216341120725529</v>
      </c>
      <c r="X284" s="9">
        <v>1.199959144568885</v>
      </c>
      <c r="Y284" s="9">
        <v>1.237764859628719</v>
      </c>
      <c r="Z284" s="9">
        <v>1.193032164639305</v>
      </c>
      <c r="AA284" s="9">
        <v>1.1890468972888</v>
      </c>
      <c r="AB284" s="9">
        <v>1.233006993727612</v>
      </c>
      <c r="AC284" s="9">
        <v>1.154259412385021</v>
      </c>
      <c r="AD284" s="9">
        <v>1.172028920412087</v>
      </c>
      <c r="AE284" s="9">
        <v>1.174620684833587</v>
      </c>
      <c r="AF284" s="9">
        <v>1.195582437284727</v>
      </c>
      <c r="AG284" s="9">
        <v>1.168758002230698</v>
      </c>
      <c r="AH284" s="9">
        <v>1.187705124639006</v>
      </c>
      <c r="AI284" s="9">
        <v>1.231735689304718</v>
      </c>
      <c r="AJ284" s="9">
        <v>1.187009908535001</v>
      </c>
      <c r="AK284" s="9">
        <v>1.240955515737796</v>
      </c>
      <c r="AL284" s="9">
        <v>1.165869738865967</v>
      </c>
      <c r="AM284" s="9">
        <v>1.197561961607775</v>
      </c>
      <c r="AN284" s="9">
        <v>1.226431289171528</v>
      </c>
      <c r="AO284" s="9">
        <v>1.176400820553968</v>
      </c>
      <c r="AP284" s="9">
        <v>1.148173664017696</v>
      </c>
      <c r="AQ284" s="9">
        <v>1.203937206254084</v>
      </c>
      <c r="AR284" s="9">
        <v>1.181466017668251</v>
      </c>
      <c r="AS284" s="9">
        <v>1.195963987778714</v>
      </c>
      <c r="AT284" s="9">
        <v>1.180129065674891</v>
      </c>
      <c r="AU284" s="9">
        <v>1.19398731279591</v>
      </c>
      <c r="AV284" s="9">
        <v>1.207229966766104</v>
      </c>
      <c r="AW284" s="9">
        <v>1.196292147219786</v>
      </c>
    </row>
    <row r="285" ht="15.0" customHeight="1">
      <c r="A285" s="5" t="s">
        <v>630</v>
      </c>
      <c r="B285" s="5" t="s">
        <v>631</v>
      </c>
      <c r="C285" s="5" t="s">
        <v>131</v>
      </c>
      <c r="D285" s="5" t="s">
        <v>83</v>
      </c>
      <c r="E285" s="5">
        <v>5.0</v>
      </c>
      <c r="F285" s="6"/>
      <c r="G285" s="5"/>
      <c r="H285" s="5">
        <v>3083.0</v>
      </c>
      <c r="I285" s="5" t="b">
        <v>0</v>
      </c>
      <c r="J285" s="5" t="b">
        <v>0</v>
      </c>
      <c r="K285" s="7">
        <v>16.24</v>
      </c>
      <c r="L285" s="8">
        <v>0.0758998159282195</v>
      </c>
      <c r="M285" s="9">
        <f t="shared" si="1"/>
        <v>1.112920249</v>
      </c>
      <c r="N285" s="7">
        <f t="shared" si="2"/>
        <v>37.83928846</v>
      </c>
      <c r="O285" s="9">
        <f t="shared" si="3"/>
        <v>7.567857693</v>
      </c>
      <c r="P285" s="9">
        <v>1.135101085928826</v>
      </c>
      <c r="Q285" s="9">
        <v>1.091463757210132</v>
      </c>
      <c r="R285" s="9">
        <v>1.128729681845964</v>
      </c>
      <c r="S285" s="9">
        <v>1.095843701807909</v>
      </c>
      <c r="T285" s="9">
        <v>1.099043665531499</v>
      </c>
      <c r="U285" s="9">
        <v>1.116201425000139</v>
      </c>
      <c r="V285" s="9">
        <v>1.102132953905678</v>
      </c>
      <c r="W285" s="9">
        <v>1.124924310092138</v>
      </c>
      <c r="X285" s="9">
        <v>1.116475999122999</v>
      </c>
      <c r="Y285" s="9">
        <v>1.135972696846284</v>
      </c>
      <c r="Z285" s="9">
        <v>1.112903702352298</v>
      </c>
      <c r="AA285" s="9">
        <v>1.110848469360241</v>
      </c>
      <c r="AB285" s="9">
        <v>1.133519028845692</v>
      </c>
      <c r="AC285" s="9">
        <v>1.092908296117944</v>
      </c>
      <c r="AD285" s="9">
        <v>1.102072167933274</v>
      </c>
      <c r="AE285" s="9">
        <v>1.103408760758352</v>
      </c>
      <c r="AF285" s="9">
        <v>1.114218897549666</v>
      </c>
      <c r="AG285" s="9">
        <v>1.100385330296181</v>
      </c>
      <c r="AH285" s="9">
        <v>1.110156506895703</v>
      </c>
      <c r="AI285" s="9">
        <v>1.132863407387185</v>
      </c>
      <c r="AJ285" s="9">
        <v>1.109797978609419</v>
      </c>
      <c r="AK285" s="9">
        <v>1.13761814271602</v>
      </c>
      <c r="AL285" s="9">
        <v>1.098895830688032</v>
      </c>
      <c r="AM285" s="9">
        <v>1.115239753452041</v>
      </c>
      <c r="AN285" s="9">
        <v>1.130127887484004</v>
      </c>
      <c r="AO285" s="9">
        <v>1.104326790426401</v>
      </c>
      <c r="AP285" s="9">
        <v>1.089769828927205</v>
      </c>
      <c r="AQ285" s="9">
        <v>1.118527516098095</v>
      </c>
      <c r="AR285" s="9">
        <v>1.106938951494898</v>
      </c>
      <c r="AS285" s="9">
        <v>1.114415666070924</v>
      </c>
      <c r="AT285" s="9">
        <v>1.106249475079922</v>
      </c>
      <c r="AU285" s="9">
        <v>1.113396279595204</v>
      </c>
      <c r="AV285" s="9">
        <v>1.120225617992913</v>
      </c>
      <c r="AW285" s="9">
        <v>1.114584900415983</v>
      </c>
    </row>
    <row r="286" ht="15.0" customHeight="1">
      <c r="A286" s="5" t="s">
        <v>632</v>
      </c>
      <c r="B286" s="5" t="s">
        <v>633</v>
      </c>
      <c r="C286" s="5" t="s">
        <v>131</v>
      </c>
      <c r="D286" s="5" t="s">
        <v>52</v>
      </c>
      <c r="E286" s="5">
        <v>5.0</v>
      </c>
      <c r="F286" s="6">
        <v>0.2413793103</v>
      </c>
      <c r="G286" s="5">
        <v>71.0</v>
      </c>
      <c r="H286" s="5">
        <v>871.0</v>
      </c>
      <c r="I286" s="5" t="b">
        <v>0</v>
      </c>
      <c r="J286" s="5" t="b">
        <v>0</v>
      </c>
      <c r="K286" s="7">
        <v>34.54827585991499</v>
      </c>
      <c r="L286" s="8">
        <v>0.03752405722943124</v>
      </c>
      <c r="M286" s="9">
        <f t="shared" si="1"/>
        <v>0.9737719782</v>
      </c>
      <c r="N286" s="7">
        <f t="shared" si="2"/>
        <v>33.10824726</v>
      </c>
      <c r="O286" s="9">
        <f t="shared" si="3"/>
        <v>6.621649452</v>
      </c>
      <c r="P286" s="9">
        <v>0.9810639143540435</v>
      </c>
      <c r="Q286" s="9">
        <v>0.9667181700654728</v>
      </c>
      <c r="R286" s="9">
        <v>0.9789693192810702</v>
      </c>
      <c r="S286" s="9">
        <v>0.9681580740889951</v>
      </c>
      <c r="T286" s="9">
        <v>0.9692100601444947</v>
      </c>
      <c r="U286" s="9">
        <v>0.974850662746195</v>
      </c>
      <c r="V286" s="9">
        <v>0.9702256617486931</v>
      </c>
      <c r="W286" s="9">
        <v>0.9777183057175394</v>
      </c>
      <c r="X286" s="9">
        <v>0.9749409288158758</v>
      </c>
      <c r="Y286" s="9">
        <v>0.9813504558933203</v>
      </c>
      <c r="Z286" s="9">
        <v>0.9737665385060169</v>
      </c>
      <c r="AA286" s="9">
        <v>0.9730908819563789</v>
      </c>
      <c r="AB286" s="9">
        <v>0.980543814085971</v>
      </c>
      <c r="AC286" s="9">
        <v>0.9671930613201587</v>
      </c>
      <c r="AD286" s="9">
        <v>0.9702056783986106</v>
      </c>
      <c r="AE286" s="9">
        <v>0.9706450824466935</v>
      </c>
      <c r="AF286" s="9">
        <v>0.9741989080974882</v>
      </c>
      <c r="AG286" s="9">
        <v>0.9696511315895225</v>
      </c>
      <c r="AH286" s="9">
        <v>0.9728633997326723</v>
      </c>
      <c r="AI286" s="9">
        <v>0.9803282789450717</v>
      </c>
      <c r="AJ286" s="9">
        <v>0.9727455337847267</v>
      </c>
      <c r="AK286" s="9">
        <v>0.9818913951850007</v>
      </c>
      <c r="AL286" s="9">
        <v>0.9691614595329635</v>
      </c>
      <c r="AM286" s="9">
        <v>0.9745345138314083</v>
      </c>
      <c r="AN286" s="9">
        <v>0.979428978502547</v>
      </c>
      <c r="AO286" s="9">
        <v>0.9709468841209444</v>
      </c>
      <c r="AP286" s="9">
        <v>0.9661612922110399</v>
      </c>
      <c r="AQ286" s="9">
        <v>0.975615363727282</v>
      </c>
      <c r="AR286" s="9">
        <v>0.9718056304243856</v>
      </c>
      <c r="AS286" s="9">
        <v>0.9742635956247244</v>
      </c>
      <c r="AT286" s="9">
        <v>0.9715789654879038</v>
      </c>
      <c r="AU286" s="9">
        <v>0.9739284729638902</v>
      </c>
      <c r="AV286" s="9">
        <v>0.9761736136539909</v>
      </c>
      <c r="AW286" s="9">
        <v>0.9743192313089044</v>
      </c>
    </row>
    <row r="287" ht="15.0" customHeight="1">
      <c r="A287" s="5" t="s">
        <v>634</v>
      </c>
      <c r="B287" s="5" t="s">
        <v>635</v>
      </c>
      <c r="C287" s="5" t="s">
        <v>131</v>
      </c>
      <c r="D287" s="5" t="s">
        <v>52</v>
      </c>
      <c r="E287" s="5">
        <v>5.0</v>
      </c>
      <c r="F287" s="6">
        <v>0.3333333333</v>
      </c>
      <c r="G287" s="5">
        <v>65.0</v>
      </c>
      <c r="H287" s="5">
        <v>578.0</v>
      </c>
      <c r="I287" s="5" t="b">
        <v>0</v>
      </c>
      <c r="J287" s="5" t="b">
        <v>0</v>
      </c>
      <c r="K287" s="7">
        <v>36.966666665265</v>
      </c>
      <c r="L287" s="8">
        <v>0.07470435680391554</v>
      </c>
      <c r="M287" s="9">
        <f t="shared" si="1"/>
        <v>1.095976777</v>
      </c>
      <c r="N287" s="7">
        <f t="shared" si="2"/>
        <v>37.2632104</v>
      </c>
      <c r="O287" s="9">
        <f t="shared" si="3"/>
        <v>7.452642081</v>
      </c>
      <c r="P287" s="9">
        <v>1.129651264910939</v>
      </c>
      <c r="Q287" s="9">
        <v>1.063401974270468</v>
      </c>
      <c r="R287" s="9">
        <v>1.119978330905412</v>
      </c>
      <c r="S287" s="9">
        <v>1.070051515641752</v>
      </c>
      <c r="T287" s="9">
        <v>1.074909634435633</v>
      </c>
      <c r="U287" s="9">
        <v>1.100958190274256</v>
      </c>
      <c r="V287" s="9">
        <v>1.079599728201285</v>
      </c>
      <c r="W287" s="9">
        <v>1.114201094151544</v>
      </c>
      <c r="X287" s="9">
        <v>1.101375043033162</v>
      </c>
      <c r="Y287" s="9">
        <v>1.130974526592888</v>
      </c>
      <c r="Z287" s="9">
        <v>1.095951655901887</v>
      </c>
      <c r="AA287" s="9">
        <v>1.092831443647319</v>
      </c>
      <c r="AB287" s="9">
        <v>1.127249418542523</v>
      </c>
      <c r="AC287" s="9">
        <v>1.065595043387096</v>
      </c>
      <c r="AD287" s="9">
        <v>1.079507444194199</v>
      </c>
      <c r="AE287" s="9">
        <v>1.081536631798862</v>
      </c>
      <c r="AF287" s="9">
        <v>1.09794835807037</v>
      </c>
      <c r="AG287" s="9">
        <v>1.076946522154185</v>
      </c>
      <c r="AH287" s="9">
        <v>1.091780920533933</v>
      </c>
      <c r="AI287" s="9">
        <v>1.126254067593459</v>
      </c>
      <c r="AJ287" s="9">
        <v>1.091236610299134</v>
      </c>
      <c r="AK287" s="9">
        <v>1.133472608507115</v>
      </c>
      <c r="AL287" s="9">
        <v>1.074685194631475</v>
      </c>
      <c r="AM287" s="9">
        <v>1.099498200404085</v>
      </c>
      <c r="AN287" s="9">
        <v>1.122101057809407</v>
      </c>
      <c r="AO287" s="9">
        <v>1.082930365468656</v>
      </c>
      <c r="AP287" s="9">
        <v>1.060830287358485</v>
      </c>
      <c r="AQ287" s="9">
        <v>1.104489613707576</v>
      </c>
      <c r="AR287" s="9">
        <v>1.086896094419257</v>
      </c>
      <c r="AS287" s="9">
        <v>1.098247087972875</v>
      </c>
      <c r="AT287" s="9">
        <v>1.085849345574937</v>
      </c>
      <c r="AU287" s="9">
        <v>1.09669947649234</v>
      </c>
      <c r="AV287" s="9">
        <v>1.107067636910878</v>
      </c>
      <c r="AW287" s="9">
        <v>1.098504016058103</v>
      </c>
    </row>
    <row r="288" ht="15.0" customHeight="1">
      <c r="A288" s="5" t="s">
        <v>636</v>
      </c>
      <c r="B288" s="5" t="s">
        <v>451</v>
      </c>
      <c r="C288" s="5" t="s">
        <v>131</v>
      </c>
      <c r="D288" s="5" t="s">
        <v>52</v>
      </c>
      <c r="E288" s="5">
        <v>6.5</v>
      </c>
      <c r="F288" s="6">
        <v>0.5625</v>
      </c>
      <c r="G288" s="5">
        <v>65.0</v>
      </c>
      <c r="H288" s="5">
        <v>724.0</v>
      </c>
      <c r="I288" s="5" t="b">
        <v>1</v>
      </c>
      <c r="J288" s="5" t="b">
        <v>0</v>
      </c>
      <c r="K288" s="7">
        <v>46.603125</v>
      </c>
      <c r="L288" s="8">
        <v>0.04860500286393032</v>
      </c>
      <c r="M288" s="9">
        <f t="shared" si="1"/>
        <v>1.831583533</v>
      </c>
      <c r="N288" s="7">
        <f t="shared" si="2"/>
        <v>62.27384013</v>
      </c>
      <c r="O288" s="9">
        <f t="shared" si="3"/>
        <v>9.58059079</v>
      </c>
      <c r="P288" s="9">
        <v>2.225628443646136</v>
      </c>
      <c r="Q288" s="9">
        <v>1.498742345614826</v>
      </c>
      <c r="R288" s="9">
        <v>2.152612705581268</v>
      </c>
      <c r="S288" s="9">
        <v>1.566161704426289</v>
      </c>
      <c r="T288" s="9">
        <v>1.623910502786539</v>
      </c>
      <c r="U288" s="9">
        <v>1.853119534177734</v>
      </c>
      <c r="V288" s="9">
        <v>1.629710011213119</v>
      </c>
      <c r="W288" s="9">
        <v>2.036961206140025</v>
      </c>
      <c r="X288" s="9">
        <v>1.869531629846587</v>
      </c>
      <c r="Y288" s="9">
        <v>2.11480041157651</v>
      </c>
      <c r="Z288" s="9">
        <v>1.878571350333525</v>
      </c>
      <c r="AA288" s="9">
        <v>1.799022210656042</v>
      </c>
      <c r="AB288" s="9">
        <v>2.155582596834788</v>
      </c>
      <c r="AC288" s="9">
        <v>1.497449938823601</v>
      </c>
      <c r="AD288" s="9">
        <v>1.691310629677396</v>
      </c>
      <c r="AE288" s="9">
        <v>1.652067616745849</v>
      </c>
      <c r="AF288" s="9">
        <v>1.848935163413168</v>
      </c>
      <c r="AG288" s="9">
        <v>1.612865098340121</v>
      </c>
      <c r="AH288" s="9">
        <v>1.791493479205313</v>
      </c>
      <c r="AI288" s="9">
        <v>2.200327136518716</v>
      </c>
      <c r="AJ288" s="9">
        <v>1.842477499202692</v>
      </c>
      <c r="AK288" s="9">
        <v>2.195439761073</v>
      </c>
      <c r="AL288" s="9">
        <v>1.608529455811969</v>
      </c>
      <c r="AM288" s="9">
        <v>1.807411254701301</v>
      </c>
      <c r="AN288" s="9">
        <v>2.102363467548545</v>
      </c>
      <c r="AO288" s="9">
        <v>1.697958554676748</v>
      </c>
      <c r="AP288" s="9">
        <v>1.491779535208841</v>
      </c>
      <c r="AQ288" s="9">
        <v>1.875120300924318</v>
      </c>
      <c r="AR288" s="9">
        <v>1.749523149417588</v>
      </c>
      <c r="AS288" s="9">
        <v>1.870397777744208</v>
      </c>
      <c r="AT288" s="9">
        <v>1.690295880911233</v>
      </c>
      <c r="AU288" s="9">
        <v>1.839944167265434</v>
      </c>
      <c r="AV288" s="9">
        <v>1.906145888097422</v>
      </c>
      <c r="AW288" s="9">
        <v>1.897649726529486</v>
      </c>
    </row>
    <row r="289" ht="15.0" customHeight="1">
      <c r="A289" s="5" t="s">
        <v>637</v>
      </c>
      <c r="B289" s="5" t="s">
        <v>638</v>
      </c>
      <c r="C289" s="5" t="s">
        <v>131</v>
      </c>
      <c r="D289" s="5" t="s">
        <v>52</v>
      </c>
      <c r="E289" s="5">
        <v>5.5</v>
      </c>
      <c r="F289" s="6">
        <v>0.06896551724</v>
      </c>
      <c r="G289" s="10">
        <v>56.0</v>
      </c>
      <c r="H289" s="5">
        <v>396.0</v>
      </c>
      <c r="I289" s="5" t="b">
        <v>0</v>
      </c>
      <c r="J289" s="5" t="b">
        <v>0</v>
      </c>
      <c r="K289" s="7">
        <v>25.229310344782</v>
      </c>
      <c r="L289" s="8">
        <v>0.0939516705712132</v>
      </c>
      <c r="M289" s="9">
        <f t="shared" si="1"/>
        <v>1.431954033</v>
      </c>
      <c r="N289" s="7">
        <f t="shared" si="2"/>
        <v>48.68643712</v>
      </c>
      <c r="O289" s="9">
        <f t="shared" si="3"/>
        <v>8.852079477</v>
      </c>
      <c r="P289" s="9">
        <v>1.556249543027229</v>
      </c>
      <c r="Q289" s="9">
        <v>1.311717561183354</v>
      </c>
      <c r="R289" s="9">
        <v>1.520545889452234</v>
      </c>
      <c r="S289" s="9">
        <v>1.336261605567125</v>
      </c>
      <c r="T289" s="9">
        <v>1.354193351027581</v>
      </c>
      <c r="U289" s="9">
        <v>1.450340870824538</v>
      </c>
      <c r="V289" s="9">
        <v>1.371504901271528</v>
      </c>
      <c r="W289" s="9">
        <v>1.499221598439499</v>
      </c>
      <c r="X289" s="9">
        <v>1.451879511167508</v>
      </c>
      <c r="Y289" s="9">
        <v>1.561133818744853</v>
      </c>
      <c r="Z289" s="9">
        <v>1.431861310358167</v>
      </c>
      <c r="AA289" s="9">
        <v>1.420344331398745</v>
      </c>
      <c r="AB289" s="9">
        <v>1.547384115988309</v>
      </c>
      <c r="AC289" s="9">
        <v>1.319812372950016</v>
      </c>
      <c r="AD289" s="9">
        <v>1.371164272852308</v>
      </c>
      <c r="AE289" s="9">
        <v>1.378654183486887</v>
      </c>
      <c r="AF289" s="9">
        <v>1.439231314379201</v>
      </c>
      <c r="AG289" s="9">
        <v>1.361711683462471</v>
      </c>
      <c r="AH289" s="9">
        <v>1.416466757821642</v>
      </c>
      <c r="AI289" s="9">
        <v>1.543710187741654</v>
      </c>
      <c r="AJ289" s="9">
        <v>1.414457660680126</v>
      </c>
      <c r="AK289" s="9">
        <v>1.570354459681359</v>
      </c>
      <c r="AL289" s="9">
        <v>1.353364923891456</v>
      </c>
      <c r="AM289" s="9">
        <v>1.444951919290518</v>
      </c>
      <c r="AN289" s="9">
        <v>1.528381061900558</v>
      </c>
      <c r="AO289" s="9">
        <v>1.383798577534618</v>
      </c>
      <c r="AP289" s="9">
        <v>1.302225237700497</v>
      </c>
      <c r="AQ289" s="9">
        <v>1.463375666556407</v>
      </c>
      <c r="AR289" s="9">
        <v>1.398436433281767</v>
      </c>
      <c r="AS289" s="9">
        <v>1.44033395282845</v>
      </c>
      <c r="AT289" s="9">
        <v>1.394572790865071</v>
      </c>
      <c r="AU289" s="9">
        <v>1.43462158219322</v>
      </c>
      <c r="AV289" s="9">
        <v>1.472891377850044</v>
      </c>
      <c r="AW289" s="9">
        <v>1.441282297078853</v>
      </c>
    </row>
    <row r="290" ht="15.0" customHeight="1">
      <c r="A290" s="5" t="s">
        <v>639</v>
      </c>
      <c r="B290" s="5" t="s">
        <v>640</v>
      </c>
      <c r="C290" s="5" t="s">
        <v>131</v>
      </c>
      <c r="D290" s="5" t="s">
        <v>52</v>
      </c>
      <c r="E290" s="5">
        <v>6.0</v>
      </c>
      <c r="F290" s="6">
        <v>0.40625</v>
      </c>
      <c r="G290" s="5">
        <v>59.0</v>
      </c>
      <c r="H290" s="5">
        <v>1111.0</v>
      </c>
      <c r="I290" s="5" t="b">
        <v>0</v>
      </c>
      <c r="J290" s="5" t="b">
        <v>0</v>
      </c>
      <c r="K290" s="7">
        <v>37.5953125</v>
      </c>
      <c r="L290" s="8">
        <v>0.02918728479245362</v>
      </c>
      <c r="M290" s="9">
        <f t="shared" si="1"/>
        <v>1.223112176</v>
      </c>
      <c r="N290" s="7">
        <f t="shared" si="2"/>
        <v>41.58581399</v>
      </c>
      <c r="O290" s="9">
        <f t="shared" si="3"/>
        <v>6.930968999</v>
      </c>
      <c r="P290" s="9">
        <v>1.332194898190373</v>
      </c>
      <c r="Q290" s="9">
        <v>1.117591698309153</v>
      </c>
      <c r="R290" s="9">
        <v>1.30086108963548</v>
      </c>
      <c r="S290" s="9">
        <v>1.139131745639841</v>
      </c>
      <c r="T290" s="9">
        <v>1.154868787176299</v>
      </c>
      <c r="U290" s="9">
        <v>1.239248610434934</v>
      </c>
      <c r="V290" s="9">
        <v>1.170061540489146</v>
      </c>
      <c r="W290" s="9">
        <v>1.282146723309962</v>
      </c>
      <c r="X290" s="9">
        <v>1.240598933360294</v>
      </c>
      <c r="Y290" s="9">
        <v>1.336481377162165</v>
      </c>
      <c r="Z290" s="9">
        <v>1.223030802119726</v>
      </c>
      <c r="AA290" s="9">
        <v>1.212923410362542</v>
      </c>
      <c r="AB290" s="9">
        <v>1.324414529354691</v>
      </c>
      <c r="AC290" s="9">
        <v>1.124695769091482</v>
      </c>
      <c r="AD290" s="9">
        <v>1.169762602296343</v>
      </c>
      <c r="AE290" s="9">
        <v>1.176335807064426</v>
      </c>
      <c r="AF290" s="9">
        <v>1.229498775896103</v>
      </c>
      <c r="AG290" s="9">
        <v>1.161466935140962</v>
      </c>
      <c r="AH290" s="9">
        <v>1.209520421145564</v>
      </c>
      <c r="AI290" s="9">
        <v>1.321190260889188</v>
      </c>
      <c r="AJ290" s="9">
        <v>1.207757221615627</v>
      </c>
      <c r="AK290" s="9">
        <v>1.344573484521738</v>
      </c>
      <c r="AL290" s="9">
        <v>1.154141752974309</v>
      </c>
      <c r="AM290" s="9">
        <v>1.234519223978058</v>
      </c>
      <c r="AN290" s="9">
        <v>1.307737298900022</v>
      </c>
      <c r="AO290" s="9">
        <v>1.180850567938518</v>
      </c>
      <c r="AP290" s="9">
        <v>1.109261160199708</v>
      </c>
      <c r="AQ290" s="9">
        <v>1.250688050187412</v>
      </c>
      <c r="AR290" s="9">
        <v>1.193696865829906</v>
      </c>
      <c r="AS290" s="9">
        <v>1.23046646011367</v>
      </c>
      <c r="AT290" s="9">
        <v>1.190306102709403</v>
      </c>
      <c r="AU290" s="9">
        <v>1.225453238497486</v>
      </c>
      <c r="AV290" s="9">
        <v>1.25903911362444</v>
      </c>
      <c r="AW290" s="9">
        <v>1.231298734522894</v>
      </c>
    </row>
    <row r="291" ht="15.0" customHeight="1">
      <c r="A291" s="5" t="s">
        <v>641</v>
      </c>
      <c r="B291" s="5" t="s">
        <v>642</v>
      </c>
      <c r="C291" s="5" t="s">
        <v>131</v>
      </c>
      <c r="D291" s="5" t="s">
        <v>56</v>
      </c>
      <c r="E291" s="5">
        <v>5.0</v>
      </c>
      <c r="F291" s="6">
        <v>0.1724137931</v>
      </c>
      <c r="G291" s="10">
        <v>73.0</v>
      </c>
      <c r="H291" s="5">
        <v>862.0</v>
      </c>
      <c r="I291" s="5" t="b">
        <v>0</v>
      </c>
      <c r="J291" s="5" t="b">
        <v>0</v>
      </c>
      <c r="K291" s="7">
        <v>32.431724137762</v>
      </c>
      <c r="L291" s="8">
        <v>0.1124759408971603</v>
      </c>
      <c r="M291" s="9">
        <f t="shared" si="1"/>
        <v>1.32187345</v>
      </c>
      <c r="N291" s="7">
        <f t="shared" si="2"/>
        <v>44.94369731</v>
      </c>
      <c r="O291" s="9">
        <f t="shared" si="3"/>
        <v>8.988739463</v>
      </c>
      <c r="P291" s="9">
        <v>1.429830536688953</v>
      </c>
      <c r="Q291" s="9">
        <v>1.21744184896253</v>
      </c>
      <c r="R291" s="9">
        <v>1.398820064878057</v>
      </c>
      <c r="S291" s="9">
        <v>1.238759622363216</v>
      </c>
      <c r="T291" s="9">
        <v>1.254334271774196</v>
      </c>
      <c r="U291" s="9">
        <v>1.337843371090554</v>
      </c>
      <c r="V291" s="9">
        <v>1.26937024952687</v>
      </c>
      <c r="W291" s="9">
        <v>1.380298813994062</v>
      </c>
      <c r="X291" s="9">
        <v>1.339179759896885</v>
      </c>
      <c r="Y291" s="9">
        <v>1.434072783050096</v>
      </c>
      <c r="Z291" s="9">
        <v>1.321792915981906</v>
      </c>
      <c r="AA291" s="9">
        <v>1.311789823423951</v>
      </c>
      <c r="AB291" s="9">
        <v>1.42213045426729</v>
      </c>
      <c r="AC291" s="9">
        <v>1.224472612118949</v>
      </c>
      <c r="AD291" s="9">
        <v>1.269074396107555</v>
      </c>
      <c r="AE291" s="9">
        <v>1.275579771309896</v>
      </c>
      <c r="AF291" s="9">
        <v>1.328194146081801</v>
      </c>
      <c r="AG291" s="9">
        <v>1.260864332781744</v>
      </c>
      <c r="AH291" s="9">
        <v>1.308421949997361</v>
      </c>
      <c r="AI291" s="9">
        <v>1.418939457354639</v>
      </c>
      <c r="AJ291" s="9">
        <v>1.306676945101952</v>
      </c>
      <c r="AK291" s="9">
        <v>1.44208138713425</v>
      </c>
      <c r="AL291" s="9">
        <v>1.253614739911771</v>
      </c>
      <c r="AM291" s="9">
        <v>1.333162787651523</v>
      </c>
      <c r="AN291" s="9">
        <v>1.405625317842768</v>
      </c>
      <c r="AO291" s="9">
        <v>1.280047943909269</v>
      </c>
      <c r="AP291" s="9">
        <v>1.209197274519561</v>
      </c>
      <c r="AQ291" s="9">
        <v>1.349164766105629</v>
      </c>
      <c r="AR291" s="9">
        <v>1.29276167955163</v>
      </c>
      <c r="AS291" s="9">
        <v>1.32915184466792</v>
      </c>
      <c r="AT291" s="9">
        <v>1.289405906059187</v>
      </c>
      <c r="AU291" s="9">
        <v>1.324190354993338</v>
      </c>
      <c r="AV291" s="9">
        <v>1.357429654073245</v>
      </c>
      <c r="AW291" s="9">
        <v>1.329975530753221</v>
      </c>
    </row>
    <row r="292" ht="15.0" customHeight="1">
      <c r="A292" s="5" t="s">
        <v>643</v>
      </c>
      <c r="B292" s="5" t="s">
        <v>644</v>
      </c>
      <c r="C292" s="5" t="s">
        <v>131</v>
      </c>
      <c r="D292" s="5" t="s">
        <v>56</v>
      </c>
      <c r="E292" s="5">
        <v>6.0</v>
      </c>
      <c r="F292" s="6"/>
      <c r="G292" s="10"/>
      <c r="H292" s="5">
        <v>1473.0</v>
      </c>
      <c r="I292" s="5" t="b">
        <v>0</v>
      </c>
      <c r="J292" s="5" t="b">
        <v>0</v>
      </c>
      <c r="K292" s="7">
        <v>23.98</v>
      </c>
      <c r="L292" s="8">
        <v>0.09823028906467676</v>
      </c>
      <c r="M292" s="9">
        <f t="shared" si="1"/>
        <v>1.507014362</v>
      </c>
      <c r="N292" s="7">
        <f t="shared" si="2"/>
        <v>51.23848831</v>
      </c>
      <c r="O292" s="9">
        <f t="shared" si="3"/>
        <v>8.539748052</v>
      </c>
      <c r="P292" s="9">
        <v>1.657338830044258</v>
      </c>
      <c r="Q292" s="9">
        <v>1.361598943352437</v>
      </c>
      <c r="R292" s="9">
        <v>1.614158406840987</v>
      </c>
      <c r="S292" s="9">
        <v>1.391282802495451</v>
      </c>
      <c r="T292" s="9">
        <v>1.412969668690514</v>
      </c>
      <c r="U292" s="9">
        <v>1.529251622470312</v>
      </c>
      <c r="V292" s="9">
        <v>1.433906463415686</v>
      </c>
      <c r="W292" s="9">
        <v>1.588368555712573</v>
      </c>
      <c r="X292" s="9">
        <v>1.531112472397826</v>
      </c>
      <c r="Y292" s="9">
        <v>1.663245931178473</v>
      </c>
      <c r="Z292" s="9">
        <v>1.506902222292757</v>
      </c>
      <c r="AA292" s="9">
        <v>1.492973450985181</v>
      </c>
      <c r="AB292" s="9">
        <v>1.646616877160243</v>
      </c>
      <c r="AC292" s="9">
        <v>1.37138890496242</v>
      </c>
      <c r="AD292" s="9">
        <v>1.433494503354902</v>
      </c>
      <c r="AE292" s="9">
        <v>1.442552890342566</v>
      </c>
      <c r="AF292" s="9">
        <v>1.515815592796132</v>
      </c>
      <c r="AG292" s="9">
        <v>1.422062429341451</v>
      </c>
      <c r="AH292" s="9">
        <v>1.488283867390903</v>
      </c>
      <c r="AI292" s="9">
        <v>1.642173584650254</v>
      </c>
      <c r="AJ292" s="9">
        <v>1.485854041416792</v>
      </c>
      <c r="AK292" s="9">
        <v>1.674397483974251</v>
      </c>
      <c r="AL292" s="9">
        <v>1.411967759060851</v>
      </c>
      <c r="AM292" s="9">
        <v>1.522734160402399</v>
      </c>
      <c r="AN292" s="9">
        <v>1.623634357571872</v>
      </c>
      <c r="AO292" s="9">
        <v>1.448774581678407</v>
      </c>
      <c r="AP292" s="9">
        <v>1.350118814454392</v>
      </c>
      <c r="AQ292" s="9">
        <v>1.545016059431589</v>
      </c>
      <c r="AR292" s="9">
        <v>1.466477778484937</v>
      </c>
      <c r="AS292" s="9">
        <v>1.517149136848668</v>
      </c>
      <c r="AT292" s="9">
        <v>1.461805043401717</v>
      </c>
      <c r="AU292" s="9">
        <v>1.510240527873817</v>
      </c>
      <c r="AV292" s="9">
        <v>1.556524473826107</v>
      </c>
      <c r="AW292" s="9">
        <v>1.518296075662332</v>
      </c>
    </row>
    <row r="293" ht="15.0" customHeight="1">
      <c r="A293" s="5" t="s">
        <v>645</v>
      </c>
      <c r="B293" s="5" t="s">
        <v>646</v>
      </c>
      <c r="C293" s="5" t="s">
        <v>64</v>
      </c>
      <c r="D293" s="5" t="s">
        <v>83</v>
      </c>
      <c r="E293" s="5">
        <v>5.0</v>
      </c>
      <c r="F293" s="6">
        <v>0.4333333333</v>
      </c>
      <c r="G293" s="10">
        <v>75.0</v>
      </c>
      <c r="H293" s="5">
        <v>1297.0</v>
      </c>
      <c r="I293" s="5" t="b">
        <v>0</v>
      </c>
      <c r="J293" s="5" t="b">
        <v>0</v>
      </c>
      <c r="K293" s="7">
        <v>41.702666664708</v>
      </c>
      <c r="L293" s="8">
        <v>0.1074597472605894</v>
      </c>
      <c r="M293" s="9">
        <f t="shared" si="1"/>
        <v>1.500591074</v>
      </c>
      <c r="N293" s="7">
        <f t="shared" si="2"/>
        <v>51.02009651</v>
      </c>
      <c r="O293" s="9">
        <f t="shared" si="3"/>
        <v>10.2040193</v>
      </c>
      <c r="P293" s="9">
        <v>1.651238589614715</v>
      </c>
      <c r="Q293" s="9">
        <v>1.503798136267772</v>
      </c>
      <c r="R293" s="9">
        <v>1.610946390981287</v>
      </c>
      <c r="S293" s="9">
        <v>1.516834750469468</v>
      </c>
      <c r="T293" s="9">
        <v>1.433082090681887</v>
      </c>
      <c r="U293" s="9">
        <v>1.492208508253332</v>
      </c>
      <c r="V293" s="9">
        <v>1.691501874152819</v>
      </c>
      <c r="W293" s="9">
        <v>1.395642835612132</v>
      </c>
      <c r="X293" s="9">
        <v>1.634323807227053</v>
      </c>
      <c r="Y293" s="9">
        <v>1.514941926527378</v>
      </c>
      <c r="Z293" s="9">
        <v>1.426753495266082</v>
      </c>
      <c r="AA293" s="9">
        <v>1.396661960532845</v>
      </c>
      <c r="AB293" s="9">
        <v>1.446336448038531</v>
      </c>
      <c r="AC293" s="9">
        <v>1.417539462735332</v>
      </c>
      <c r="AD293" s="9">
        <v>1.451089472293622</v>
      </c>
      <c r="AE293" s="9">
        <v>1.374602460217451</v>
      </c>
      <c r="AF293" s="9">
        <v>1.601307619927117</v>
      </c>
      <c r="AG293" s="9">
        <v>1.629804167937361</v>
      </c>
      <c r="AH293" s="9">
        <v>1.508312478305144</v>
      </c>
      <c r="AI293" s="9">
        <v>1.64522998984003</v>
      </c>
      <c r="AJ293" s="9">
        <v>1.405910957351611</v>
      </c>
      <c r="AK293" s="9">
        <v>1.344408558791689</v>
      </c>
      <c r="AL293" s="9">
        <v>1.575074635226418</v>
      </c>
      <c r="AM293" s="9">
        <v>1.473270243861631</v>
      </c>
      <c r="AN293" s="9">
        <v>1.495604174199528</v>
      </c>
      <c r="AO293" s="9">
        <v>1.478040406126965</v>
      </c>
      <c r="AP293" s="9">
        <v>1.501275032557115</v>
      </c>
      <c r="AQ293" s="9">
        <v>1.538562826933597</v>
      </c>
      <c r="AR293" s="9">
        <v>1.542683393075542</v>
      </c>
      <c r="AS293" s="9">
        <v>1.332731172821335</v>
      </c>
      <c r="AT293" s="9">
        <v>1.662581753730865</v>
      </c>
      <c r="AU293" s="9">
        <v>1.470798667454042</v>
      </c>
      <c r="AV293" s="9">
        <v>1.354366736210253</v>
      </c>
      <c r="AW293" s="9">
        <v>1.502631490202167</v>
      </c>
    </row>
    <row r="294" ht="15.0" customHeight="1">
      <c r="A294" s="5" t="s">
        <v>647</v>
      </c>
      <c r="B294" s="5" t="s">
        <v>648</v>
      </c>
      <c r="C294" s="5" t="s">
        <v>64</v>
      </c>
      <c r="D294" s="5" t="s">
        <v>83</v>
      </c>
      <c r="E294" s="5">
        <v>4.5</v>
      </c>
      <c r="F294" s="6">
        <v>0.2307692308</v>
      </c>
      <c r="G294" s="10">
        <v>63.0</v>
      </c>
      <c r="H294" s="5">
        <v>286.0</v>
      </c>
      <c r="I294" s="5" t="b">
        <v>0</v>
      </c>
      <c r="J294" s="5" t="b">
        <v>0</v>
      </c>
      <c r="K294" s="7">
        <v>27.030769232208</v>
      </c>
      <c r="L294" s="8">
        <v>0.04277282570376868</v>
      </c>
      <c r="M294" s="9">
        <f t="shared" si="1"/>
        <v>0.9941769521</v>
      </c>
      <c r="N294" s="7">
        <f t="shared" si="2"/>
        <v>33.80201637</v>
      </c>
      <c r="O294" s="9">
        <f t="shared" si="3"/>
        <v>7.511559194</v>
      </c>
      <c r="P294" s="9">
        <v>0.0</v>
      </c>
      <c r="Q294" s="9">
        <v>0.0</v>
      </c>
      <c r="R294" s="9">
        <v>1.086700087423652</v>
      </c>
      <c r="S294" s="9">
        <v>1.06186771256872</v>
      </c>
      <c r="T294" s="9">
        <v>1.039768666886038</v>
      </c>
      <c r="U294" s="9">
        <v>1.055369812047023</v>
      </c>
      <c r="V294" s="9">
        <v>1.107955523455335</v>
      </c>
      <c r="W294" s="9">
        <v>1.029889914256443</v>
      </c>
      <c r="X294" s="9">
        <v>1.092868471697878</v>
      </c>
      <c r="Y294" s="9">
        <v>1.061368270486861</v>
      </c>
      <c r="Z294" s="9">
        <v>1.038098798495519</v>
      </c>
      <c r="AA294" s="9">
        <v>1.030158821396065</v>
      </c>
      <c r="AB294" s="9">
        <v>1.043265972517428</v>
      </c>
      <c r="AC294" s="9">
        <v>1.035667576295112</v>
      </c>
      <c r="AD294" s="9">
        <v>1.044520109405863</v>
      </c>
      <c r="AE294" s="9">
        <v>1.02433818350297</v>
      </c>
      <c r="AF294" s="9">
        <v>1.084156793367186</v>
      </c>
      <c r="AG294" s="9">
        <v>1.091675915958329</v>
      </c>
      <c r="AH294" s="9">
        <v>1.059619018827443</v>
      </c>
      <c r="AI294" s="9">
        <v>1.095746186010464</v>
      </c>
      <c r="AJ294" s="9">
        <v>1.03259926930226</v>
      </c>
      <c r="AK294" s="9">
        <v>1.016371195843848</v>
      </c>
      <c r="AL294" s="9">
        <v>1.077234936452263</v>
      </c>
      <c r="AM294" s="9">
        <v>1.050372746031396</v>
      </c>
      <c r="AN294" s="9">
        <v>1.056265795255896</v>
      </c>
      <c r="AO294" s="9">
        <v>1.051631404969307</v>
      </c>
      <c r="AP294" s="9">
        <v>1.057762112605365</v>
      </c>
      <c r="AQ294" s="9">
        <v>1.067600900691884</v>
      </c>
      <c r="AR294" s="9">
        <v>1.068688156662504</v>
      </c>
      <c r="AS294" s="9">
        <v>1.013289991179212</v>
      </c>
      <c r="AT294" s="9">
        <v>1.100324636699328</v>
      </c>
      <c r="AU294" s="9">
        <v>1.049720593848073</v>
      </c>
      <c r="AV294" s="9">
        <v>1.018998768726276</v>
      </c>
      <c r="AW294" s="9">
        <v>1.058120028635025</v>
      </c>
    </row>
    <row r="295" ht="15.0" customHeight="1">
      <c r="A295" s="5" t="s">
        <v>649</v>
      </c>
      <c r="B295" s="5" t="s">
        <v>650</v>
      </c>
      <c r="C295" s="5" t="s">
        <v>64</v>
      </c>
      <c r="D295" s="5" t="s">
        <v>83</v>
      </c>
      <c r="E295" s="5">
        <v>4.5</v>
      </c>
      <c r="F295" s="6"/>
      <c r="G295" s="5"/>
      <c r="H295" s="5">
        <v>2784.0</v>
      </c>
      <c r="I295" s="5" t="b">
        <v>1</v>
      </c>
      <c r="J295" s="5" t="b">
        <v>0</v>
      </c>
      <c r="K295" s="7">
        <v>80.76</v>
      </c>
      <c r="L295" s="8">
        <v>0.0835222598027041</v>
      </c>
      <c r="M295" s="9">
        <f t="shared" si="1"/>
        <v>3.333520946</v>
      </c>
      <c r="N295" s="7">
        <f t="shared" si="2"/>
        <v>113.3397121</v>
      </c>
      <c r="O295" s="9">
        <f t="shared" si="3"/>
        <v>25.1866027</v>
      </c>
      <c r="P295" s="9">
        <v>3.548182518222934</v>
      </c>
      <c r="Q295" s="9">
        <v>3.565575838275621</v>
      </c>
      <c r="R295" s="9">
        <v>3.773165212226122</v>
      </c>
      <c r="S295" s="9">
        <v>3.331011967258662</v>
      </c>
      <c r="T295" s="9">
        <v>3.090220170753145</v>
      </c>
      <c r="U295" s="9">
        <v>3.557311860757808</v>
      </c>
      <c r="V295" s="9">
        <v>3.8333774549676</v>
      </c>
      <c r="W295" s="9">
        <v>2.901918802579702</v>
      </c>
      <c r="X295" s="9">
        <v>3.856133937235866</v>
      </c>
      <c r="Y295" s="9">
        <v>3.260704086043134</v>
      </c>
      <c r="Z295" s="9">
        <v>2.879209852562374</v>
      </c>
      <c r="AA295" s="9">
        <v>2.983316574615399</v>
      </c>
      <c r="AB295" s="9">
        <v>2.930660367028414</v>
      </c>
      <c r="AC295" s="9">
        <v>3.181292959894873</v>
      </c>
      <c r="AD295" s="9">
        <v>3.221757456903421</v>
      </c>
      <c r="AE295" s="9">
        <v>2.838524090855011</v>
      </c>
      <c r="AF295" s="9">
        <v>4.057383962969669</v>
      </c>
      <c r="AG295" s="9">
        <v>4.080540794781026</v>
      </c>
      <c r="AH295" s="9">
        <v>3.065886828657147</v>
      </c>
      <c r="AI295" s="9">
        <v>4.090826759329733</v>
      </c>
      <c r="AJ295" s="9">
        <v>2.83265878477605</v>
      </c>
      <c r="AK295" s="9">
        <v>2.700589802674244</v>
      </c>
      <c r="AL295" s="9">
        <v>3.718783233475262</v>
      </c>
      <c r="AM295" s="9">
        <v>3.266568857378289</v>
      </c>
      <c r="AN295" s="9">
        <v>3.342895245757517</v>
      </c>
      <c r="AO295" s="9">
        <v>3.26837877207081</v>
      </c>
      <c r="AP295" s="9">
        <v>3.345270803840905</v>
      </c>
      <c r="AQ295" s="9">
        <v>3.316764780944692</v>
      </c>
      <c r="AR295" s="9">
        <v>3.319349226246967</v>
      </c>
      <c r="AS295" s="9">
        <v>2.771649986592749</v>
      </c>
      <c r="AT295" s="9">
        <v>3.846079149306806</v>
      </c>
      <c r="AU295" s="9">
        <v>3.537999409397618</v>
      </c>
      <c r="AV295" s="9">
        <v>2.583345543604118</v>
      </c>
      <c r="AW295" s="9">
        <v>3.442377057044052</v>
      </c>
    </row>
    <row r="296" ht="15.0" customHeight="1">
      <c r="A296" s="5" t="s">
        <v>651</v>
      </c>
      <c r="B296" s="5" t="s">
        <v>652</v>
      </c>
      <c r="C296" s="5" t="s">
        <v>64</v>
      </c>
      <c r="D296" s="5" t="s">
        <v>83</v>
      </c>
      <c r="E296" s="5">
        <v>4.0</v>
      </c>
      <c r="F296" s="6"/>
      <c r="G296" s="5"/>
      <c r="H296" s="5">
        <v>1347.0</v>
      </c>
      <c r="I296" s="5" t="b">
        <v>0</v>
      </c>
      <c r="J296" s="5" t="b">
        <v>0</v>
      </c>
      <c r="K296" s="7">
        <v>16.24</v>
      </c>
      <c r="L296" s="8">
        <v>0.06287697608153185</v>
      </c>
      <c r="M296" s="9">
        <f t="shared" si="1"/>
        <v>1.073638794</v>
      </c>
      <c r="N296" s="7">
        <f t="shared" si="2"/>
        <v>36.50371901</v>
      </c>
      <c r="O296" s="9">
        <f t="shared" si="3"/>
        <v>9.125929753</v>
      </c>
      <c r="P296" s="9">
        <v>1.091088005264843</v>
      </c>
      <c r="Q296" s="9">
        <v>1.07401026226979</v>
      </c>
      <c r="R296" s="9">
        <v>1.086421037703721</v>
      </c>
      <c r="S296" s="9">
        <v>1.075520268118309</v>
      </c>
      <c r="T296" s="9">
        <v>1.065819359266389</v>
      </c>
      <c r="U296" s="9">
        <v>1.072667858037126</v>
      </c>
      <c r="V296" s="9">
        <v>1.095751623762139</v>
      </c>
      <c r="W296" s="9">
        <v>1.061482842649047</v>
      </c>
      <c r="X296" s="9">
        <v>1.089128798684313</v>
      </c>
      <c r="Y296" s="9">
        <v>1.07530102597625</v>
      </c>
      <c r="Z296" s="9">
        <v>1.065086330280264</v>
      </c>
      <c r="AA296" s="9">
        <v>1.061600885920623</v>
      </c>
      <c r="AB296" s="9">
        <v>1.067354585884071</v>
      </c>
      <c r="AC296" s="9">
        <v>1.064019086685062</v>
      </c>
      <c r="AD296" s="9">
        <v>1.067905119505171</v>
      </c>
      <c r="AE296" s="9">
        <v>1.059045776597274</v>
      </c>
      <c r="AF296" s="9">
        <v>1.085304597465546</v>
      </c>
      <c r="AG296" s="9">
        <v>1.088605297593075</v>
      </c>
      <c r="AH296" s="9">
        <v>1.074533149790521</v>
      </c>
      <c r="AI296" s="9">
        <v>1.090392040755898</v>
      </c>
      <c r="AJ296" s="9">
        <v>1.062672179361788</v>
      </c>
      <c r="AK296" s="9">
        <v>1.055548475301314</v>
      </c>
      <c r="AL296" s="9">
        <v>1.082266081505089</v>
      </c>
      <c r="AM296" s="9">
        <v>1.070474275443529</v>
      </c>
      <c r="AN296" s="9">
        <v>1.073061171466444</v>
      </c>
      <c r="AO296" s="9">
        <v>1.071026794127261</v>
      </c>
      <c r="AP296" s="9">
        <v>1.073718016039245</v>
      </c>
      <c r="AQ296" s="9">
        <v>1.078036989256965</v>
      </c>
      <c r="AR296" s="9">
        <v>1.078514266476133</v>
      </c>
      <c r="AS296" s="9">
        <v>1.054195906234082</v>
      </c>
      <c r="AT296" s="9">
        <v>1.092401862060105</v>
      </c>
      <c r="AU296" s="9">
        <v>1.070187997520996</v>
      </c>
      <c r="AV296" s="9">
        <v>1.056701911761885</v>
      </c>
      <c r="AW296" s="9">
        <v>1.073875131908873</v>
      </c>
    </row>
    <row r="297" ht="15.0" customHeight="1">
      <c r="A297" s="5" t="s">
        <v>653</v>
      </c>
      <c r="B297" s="5" t="s">
        <v>179</v>
      </c>
      <c r="C297" s="5" t="s">
        <v>64</v>
      </c>
      <c r="D297" s="5" t="s">
        <v>52</v>
      </c>
      <c r="E297" s="5">
        <v>6.5</v>
      </c>
      <c r="F297" s="6">
        <v>0.07142857143</v>
      </c>
      <c r="G297" s="10">
        <v>67.0</v>
      </c>
      <c r="H297" s="5">
        <v>117.0</v>
      </c>
      <c r="I297" s="5" t="b">
        <v>0</v>
      </c>
      <c r="J297" s="5" t="b">
        <v>0</v>
      </c>
      <c r="K297" s="7">
        <v>26.0964285714915</v>
      </c>
      <c r="L297" s="8">
        <v>-0.02619887825959005</v>
      </c>
      <c r="M297" s="9">
        <f t="shared" si="1"/>
        <v>0.9315485619</v>
      </c>
      <c r="N297" s="7">
        <f t="shared" si="2"/>
        <v>31.67265111</v>
      </c>
      <c r="O297" s="9">
        <f t="shared" si="3"/>
        <v>4.872715555</v>
      </c>
      <c r="P297" s="9">
        <v>0.9937744667807438</v>
      </c>
      <c r="Q297" s="9">
        <v>0.9328732592397659</v>
      </c>
      <c r="R297" s="9">
        <v>0.9771315204552702</v>
      </c>
      <c r="S297" s="9">
        <v>0.9382581148143817</v>
      </c>
      <c r="T297" s="9">
        <v>0.9036635513818483</v>
      </c>
      <c r="U297" s="9">
        <v>0.9280860904200309</v>
      </c>
      <c r="V297" s="9">
        <v>1.010405469957101</v>
      </c>
      <c r="W297" s="9">
        <v>0.8881990313575</v>
      </c>
      <c r="X297" s="9">
        <v>0.9867877094199435</v>
      </c>
      <c r="Y297" s="9">
        <v>0.9374762719678702</v>
      </c>
      <c r="Z297" s="9">
        <v>0.901049485200473</v>
      </c>
      <c r="AA297" s="9">
        <v>0.8886199873224176</v>
      </c>
      <c r="AB297" s="9">
        <v>0.9091383471375274</v>
      </c>
      <c r="AC297" s="9">
        <v>0.89724357105204</v>
      </c>
      <c r="AD297" s="9">
        <v>0.9111016137311633</v>
      </c>
      <c r="AE297" s="9">
        <v>0.879508171830391</v>
      </c>
      <c r="AF297" s="9">
        <v>0.973150165385582</v>
      </c>
      <c r="AG297" s="9">
        <v>0.9849208439556588</v>
      </c>
      <c r="AH297" s="9">
        <v>0.9347379366406287</v>
      </c>
      <c r="AI297" s="9">
        <v>0.9912925768136281</v>
      </c>
      <c r="AJ297" s="9">
        <v>0.8924403436901512</v>
      </c>
      <c r="AK297" s="9">
        <v>0.8670363907454867</v>
      </c>
      <c r="AL297" s="9">
        <v>0.9623144658919212</v>
      </c>
      <c r="AM297" s="9">
        <v>0.9202635210776066</v>
      </c>
      <c r="AN297" s="9">
        <v>0.9294886916182413</v>
      </c>
      <c r="AO297" s="9">
        <v>0.9222338666342746</v>
      </c>
      <c r="AP297" s="9">
        <v>0.9318310753666026</v>
      </c>
      <c r="AQ297" s="9">
        <v>0.9472330335979966</v>
      </c>
      <c r="AR297" s="9">
        <v>0.9489350593860375</v>
      </c>
      <c r="AS297" s="9">
        <v>0.8622129729495362</v>
      </c>
      <c r="AT297" s="9">
        <v>0.9984598321355524</v>
      </c>
      <c r="AU297" s="9">
        <v>0.9192426208813917</v>
      </c>
      <c r="AV297" s="9">
        <v>0.8711496786249723</v>
      </c>
      <c r="AW297" s="9">
        <v>0.9323913687371571</v>
      </c>
    </row>
    <row r="298" ht="15.0" customHeight="1">
      <c r="A298" s="5" t="s">
        <v>654</v>
      </c>
      <c r="B298" s="5" t="s">
        <v>655</v>
      </c>
      <c r="C298" s="5" t="s">
        <v>64</v>
      </c>
      <c r="D298" s="5" t="s">
        <v>52</v>
      </c>
      <c r="E298" s="5">
        <v>4.5</v>
      </c>
      <c r="F298" s="6"/>
      <c r="G298" s="10"/>
      <c r="H298" s="5">
        <v>494.0</v>
      </c>
      <c r="I298" s="5" t="b">
        <v>0</v>
      </c>
      <c r="J298" s="5" t="b">
        <v>0</v>
      </c>
      <c r="K298" s="7">
        <v>22.95</v>
      </c>
      <c r="L298" s="8">
        <v>0.06482860163179208</v>
      </c>
      <c r="M298" s="9">
        <f t="shared" si="1"/>
        <v>1.085145123</v>
      </c>
      <c r="N298" s="7">
        <f t="shared" si="2"/>
        <v>36.8949342</v>
      </c>
      <c r="O298" s="9">
        <f t="shared" si="3"/>
        <v>8.198874266</v>
      </c>
      <c r="P298" s="9">
        <v>1.092362296642323</v>
      </c>
      <c r="Q298" s="9">
        <v>1.085298766322162</v>
      </c>
      <c r="R298" s="9">
        <v>1.090431990812053</v>
      </c>
      <c r="S298" s="9">
        <v>1.0859233202868</v>
      </c>
      <c r="T298" s="9">
        <v>1.081910924513629</v>
      </c>
      <c r="U298" s="9">
        <v>1.08474353411132</v>
      </c>
      <c r="V298" s="9">
        <v>1.094291217265314</v>
      </c>
      <c r="W298" s="9">
        <v>1.080117296595739</v>
      </c>
      <c r="X298" s="9">
        <v>1.091551948630349</v>
      </c>
      <c r="Y298" s="9">
        <v>1.08583263947972</v>
      </c>
      <c r="Z298" s="9">
        <v>1.081607736178346</v>
      </c>
      <c r="AA298" s="9">
        <v>1.080166120508132</v>
      </c>
      <c r="AB298" s="9">
        <v>1.082545910048044</v>
      </c>
      <c r="AC298" s="9">
        <v>1.08116631323997</v>
      </c>
      <c r="AD298" s="9">
        <v>1.08277361642154</v>
      </c>
      <c r="AE298" s="9">
        <v>1.079109300986839</v>
      </c>
      <c r="AF298" s="9">
        <v>1.089970219635658</v>
      </c>
      <c r="AG298" s="9">
        <v>1.091335423189507</v>
      </c>
      <c r="AH298" s="9">
        <v>1.085515037983925</v>
      </c>
      <c r="AI298" s="9">
        <v>1.092074438556385</v>
      </c>
      <c r="AJ298" s="9">
        <v>1.080609218504492</v>
      </c>
      <c r="AK298" s="9">
        <v>1.077662781165695</v>
      </c>
      <c r="AL298" s="9">
        <v>1.088713458152528</v>
      </c>
      <c r="AM298" s="9">
        <v>1.083836245767413</v>
      </c>
      <c r="AN298" s="9">
        <v>1.084906212594895</v>
      </c>
      <c r="AO298" s="9">
        <v>1.08406477318325</v>
      </c>
      <c r="AP298" s="9">
        <v>1.085177890272498</v>
      </c>
      <c r="AQ298" s="9">
        <v>1.086964262059693</v>
      </c>
      <c r="AR298" s="9">
        <v>1.087161668831167</v>
      </c>
      <c r="AS298" s="9">
        <v>1.077103344674627</v>
      </c>
      <c r="AT298" s="9">
        <v>1.092905721339156</v>
      </c>
      <c r="AU298" s="9">
        <v>1.083717838271388</v>
      </c>
      <c r="AV298" s="9">
        <v>1.078139854360553</v>
      </c>
      <c r="AW298" s="9">
        <v>1.085242875013703</v>
      </c>
    </row>
    <row r="299" ht="15.0" customHeight="1">
      <c r="A299" s="5" t="s">
        <v>656</v>
      </c>
      <c r="B299" s="5" t="s">
        <v>657</v>
      </c>
      <c r="C299" s="5" t="s">
        <v>64</v>
      </c>
      <c r="D299" s="5" t="s">
        <v>52</v>
      </c>
      <c r="E299" s="5">
        <v>6.0</v>
      </c>
      <c r="F299" s="6"/>
      <c r="G299" s="10"/>
      <c r="H299" s="5">
        <v>2955.0</v>
      </c>
      <c r="I299" s="5" t="b">
        <v>0</v>
      </c>
      <c r="J299" s="5" t="b">
        <v>0</v>
      </c>
      <c r="K299" s="7">
        <v>22.95</v>
      </c>
      <c r="L299" s="8">
        <v>0.06468838241151179</v>
      </c>
      <c r="M299" s="9">
        <f t="shared" si="1"/>
        <v>1.235270835</v>
      </c>
      <c r="N299" s="7">
        <f t="shared" si="2"/>
        <v>41.9992084</v>
      </c>
      <c r="O299" s="9">
        <f t="shared" si="3"/>
        <v>6.999868067</v>
      </c>
      <c r="P299" s="9">
        <v>1.310334750332266</v>
      </c>
      <c r="Q299" s="9">
        <v>1.236868834839253</v>
      </c>
      <c r="R299" s="9">
        <v>1.290258148608412</v>
      </c>
      <c r="S299" s="9">
        <v>1.243364655867442</v>
      </c>
      <c r="T299" s="9">
        <v>1.20163278590506</v>
      </c>
      <c r="U299" s="9">
        <v>1.231094011085146</v>
      </c>
      <c r="V299" s="9">
        <v>1.330396944880644</v>
      </c>
      <c r="W299" s="9">
        <v>1.18297773509208</v>
      </c>
      <c r="X299" s="9">
        <v>1.301906534430416</v>
      </c>
      <c r="Y299" s="9">
        <v>1.242421508714704</v>
      </c>
      <c r="Z299" s="9">
        <v>1.198479404011198</v>
      </c>
      <c r="AA299" s="9">
        <v>1.183485539725085</v>
      </c>
      <c r="AB299" s="9">
        <v>1.208237102938636</v>
      </c>
      <c r="AC299" s="9">
        <v>1.193888280477</v>
      </c>
      <c r="AD299" s="9">
        <v>1.210605416860183</v>
      </c>
      <c r="AE299" s="9">
        <v>1.172493838674252</v>
      </c>
      <c r="AF299" s="9">
        <v>1.285455388418467</v>
      </c>
      <c r="AG299" s="9">
        <v>1.299654510439862</v>
      </c>
      <c r="AH299" s="9">
        <v>1.23911821934056</v>
      </c>
      <c r="AI299" s="9">
        <v>1.307340814317707</v>
      </c>
      <c r="AJ299" s="9">
        <v>1.188094085095491</v>
      </c>
      <c r="AK299" s="9">
        <v>1.157448967608035</v>
      </c>
      <c r="AL299" s="9">
        <v>1.272384143767475</v>
      </c>
      <c r="AM299" s="9">
        <v>1.221657544363824</v>
      </c>
      <c r="AN299" s="9">
        <v>1.232785987078049</v>
      </c>
      <c r="AO299" s="9">
        <v>1.224034397730168</v>
      </c>
      <c r="AP299" s="9">
        <v>1.23561163493394</v>
      </c>
      <c r="AQ299" s="9">
        <v>1.254191216645734</v>
      </c>
      <c r="AR299" s="9">
        <v>1.256244392399712</v>
      </c>
      <c r="AS299" s="9">
        <v>1.151630416244397</v>
      </c>
      <c r="AT299" s="9">
        <v>1.315986767248001</v>
      </c>
      <c r="AU299" s="9">
        <v>1.220426019233695</v>
      </c>
      <c r="AV299" s="9">
        <v>1.162410880055328</v>
      </c>
      <c r="AW299" s="9">
        <v>1.236287524084163</v>
      </c>
    </row>
    <row r="300" ht="15.0" customHeight="1">
      <c r="A300" s="5" t="s">
        <v>658</v>
      </c>
      <c r="B300" s="5" t="s">
        <v>659</v>
      </c>
      <c r="C300" s="5" t="s">
        <v>64</v>
      </c>
      <c r="D300" s="5" t="s">
        <v>52</v>
      </c>
      <c r="E300" s="5">
        <v>7.0</v>
      </c>
      <c r="F300" s="6"/>
      <c r="G300" s="10"/>
      <c r="H300" s="5">
        <v>1150.0</v>
      </c>
      <c r="I300" s="5" t="b">
        <v>0</v>
      </c>
      <c r="J300" s="5" t="b">
        <v>0</v>
      </c>
      <c r="K300" s="7">
        <v>22.95</v>
      </c>
      <c r="L300" s="8">
        <v>0.07602015013787627</v>
      </c>
      <c r="M300" s="9">
        <f t="shared" si="1"/>
        <v>1.192582605</v>
      </c>
      <c r="N300" s="7">
        <f t="shared" si="2"/>
        <v>40.54780857</v>
      </c>
      <c r="O300" s="9">
        <f t="shared" si="3"/>
        <v>5.792544082</v>
      </c>
      <c r="P300" s="9">
        <v>1.287599274003911</v>
      </c>
      <c r="Q300" s="9">
        <v>1.194605369150098</v>
      </c>
      <c r="R300" s="9">
        <v>1.262186106850585</v>
      </c>
      <c r="S300" s="9">
        <v>1.202827845635812</v>
      </c>
      <c r="T300" s="9">
        <v>1.150003219159571</v>
      </c>
      <c r="U300" s="9">
        <v>1.187295538364853</v>
      </c>
      <c r="V300" s="9">
        <v>1.31299420440763</v>
      </c>
      <c r="W300" s="9">
        <v>1.126389465642672</v>
      </c>
      <c r="X300" s="9">
        <v>1.276930752385357</v>
      </c>
      <c r="Y300" s="9">
        <v>1.201634000354006</v>
      </c>
      <c r="Z300" s="9">
        <v>1.146011636207971</v>
      </c>
      <c r="AA300" s="9">
        <v>1.127032249924459</v>
      </c>
      <c r="AB300" s="9">
        <v>1.158363030995077</v>
      </c>
      <c r="AC300" s="9">
        <v>1.14020014522952</v>
      </c>
      <c r="AD300" s="9">
        <v>1.161360866903148</v>
      </c>
      <c r="AE300" s="9">
        <v>1.113118842668275</v>
      </c>
      <c r="AF300" s="9">
        <v>1.256106724035545</v>
      </c>
      <c r="AG300" s="9">
        <v>1.274080117457573</v>
      </c>
      <c r="AH300" s="9">
        <v>1.197452662985482</v>
      </c>
      <c r="AI300" s="9">
        <v>1.283809519271966</v>
      </c>
      <c r="AJ300" s="9">
        <v>1.132865793640807</v>
      </c>
      <c r="AK300" s="9">
        <v>1.094074891482466</v>
      </c>
      <c r="AL300" s="9">
        <v>1.239561009288264</v>
      </c>
      <c r="AM300" s="9">
        <v>1.175350762579376</v>
      </c>
      <c r="AN300" s="9">
        <v>1.189437258827234</v>
      </c>
      <c r="AO300" s="9">
        <v>1.178359407803736</v>
      </c>
      <c r="AP300" s="9">
        <v>1.193013992692152</v>
      </c>
      <c r="AQ300" s="9">
        <v>1.216532216651323</v>
      </c>
      <c r="AR300" s="9">
        <v>1.219131147453891</v>
      </c>
      <c r="AS300" s="9">
        <v>1.086709709843252</v>
      </c>
      <c r="AT300" s="9">
        <v>1.294753654641064</v>
      </c>
      <c r="AU300" s="9">
        <v>1.173791885513627</v>
      </c>
      <c r="AV300" s="9">
        <v>1.100355730847496</v>
      </c>
      <c r="AW300" s="9">
        <v>1.193869540069542</v>
      </c>
    </row>
    <row r="301" ht="15.0" customHeight="1">
      <c r="A301" s="5" t="s">
        <v>660</v>
      </c>
      <c r="B301" s="5" t="s">
        <v>661</v>
      </c>
      <c r="C301" s="5" t="s">
        <v>100</v>
      </c>
      <c r="D301" s="5" t="s">
        <v>103</v>
      </c>
      <c r="E301" s="5">
        <v>4.5</v>
      </c>
      <c r="F301" s="6">
        <v>0.3333333333</v>
      </c>
      <c r="G301" s="5">
        <v>90.0</v>
      </c>
      <c r="H301" s="5">
        <v>196.0</v>
      </c>
      <c r="I301" s="5" t="b">
        <v>0</v>
      </c>
      <c r="J301" s="5" t="b">
        <v>0</v>
      </c>
      <c r="K301" s="7">
        <v>29.999999997</v>
      </c>
      <c r="L301" s="8">
        <v>0.05922251898964732</v>
      </c>
      <c r="M301" s="9">
        <f t="shared" si="1"/>
        <v>1.059223499</v>
      </c>
      <c r="N301" s="7">
        <f t="shared" si="2"/>
        <v>36.01359896</v>
      </c>
      <c r="O301" s="9">
        <f t="shared" si="3"/>
        <v>8.003021992</v>
      </c>
      <c r="P301" s="9">
        <v>1.059223498968323</v>
      </c>
      <c r="Q301" s="9">
        <v>1.059223498968323</v>
      </c>
      <c r="R301" s="9">
        <v>1.059223498968323</v>
      </c>
      <c r="S301" s="9">
        <v>1.059223498968323</v>
      </c>
      <c r="T301" s="9">
        <v>1.059223498968323</v>
      </c>
      <c r="U301" s="9">
        <v>1.059223498968323</v>
      </c>
      <c r="V301" s="9">
        <v>1.059223498968323</v>
      </c>
      <c r="W301" s="9">
        <v>1.059223498968323</v>
      </c>
      <c r="X301" s="9">
        <v>1.059223498968323</v>
      </c>
      <c r="Y301" s="9">
        <v>1.059223498968323</v>
      </c>
      <c r="Z301" s="9">
        <v>1.059223498968323</v>
      </c>
      <c r="AA301" s="9">
        <v>1.059223498968323</v>
      </c>
      <c r="AB301" s="9">
        <v>1.059223498968323</v>
      </c>
      <c r="AC301" s="9">
        <v>1.059223498968323</v>
      </c>
      <c r="AD301" s="9">
        <v>1.059223498968323</v>
      </c>
      <c r="AE301" s="9">
        <v>1.059223498968323</v>
      </c>
      <c r="AF301" s="9">
        <v>1.059223498968323</v>
      </c>
      <c r="AG301" s="9">
        <v>1.059223498968323</v>
      </c>
      <c r="AH301" s="9">
        <v>1.059223498968323</v>
      </c>
      <c r="AI301" s="9">
        <v>1.059223498968323</v>
      </c>
      <c r="AJ301" s="9">
        <v>1.059223498968323</v>
      </c>
      <c r="AK301" s="9">
        <v>1.059223498968323</v>
      </c>
      <c r="AL301" s="9">
        <v>1.059223498968323</v>
      </c>
      <c r="AM301" s="9">
        <v>1.059223498968323</v>
      </c>
      <c r="AN301" s="9">
        <v>1.059223498968323</v>
      </c>
      <c r="AO301" s="9">
        <v>1.059223498968323</v>
      </c>
      <c r="AP301" s="9">
        <v>1.059223498968323</v>
      </c>
      <c r="AQ301" s="9">
        <v>1.059223498968323</v>
      </c>
      <c r="AR301" s="9">
        <v>1.059223498968323</v>
      </c>
      <c r="AS301" s="9">
        <v>1.059223498968323</v>
      </c>
      <c r="AT301" s="9">
        <v>1.059223498968323</v>
      </c>
      <c r="AU301" s="9">
        <v>1.059223498968323</v>
      </c>
      <c r="AV301" s="9">
        <v>1.059223498968323</v>
      </c>
      <c r="AW301" s="9">
        <v>1.059223498968323</v>
      </c>
    </row>
    <row r="302" ht="15.0" customHeight="1">
      <c r="A302" s="5" t="s">
        <v>662</v>
      </c>
      <c r="B302" s="5" t="s">
        <v>663</v>
      </c>
      <c r="C302" s="5" t="s">
        <v>100</v>
      </c>
      <c r="D302" s="5" t="s">
        <v>103</v>
      </c>
      <c r="E302" s="5">
        <v>4.0</v>
      </c>
      <c r="F302" s="6">
        <v>0.02941176471</v>
      </c>
      <c r="G302" s="5">
        <v>90.0</v>
      </c>
      <c r="H302" s="5">
        <v>92.0</v>
      </c>
      <c r="I302" s="5" t="b">
        <v>0</v>
      </c>
      <c r="J302" s="5" t="b">
        <v>0</v>
      </c>
      <c r="K302" s="7">
        <v>2.6470588239</v>
      </c>
      <c r="L302" s="8">
        <v>0.09069066257100071</v>
      </c>
      <c r="M302" s="9">
        <f t="shared" si="1"/>
        <v>1.013405068</v>
      </c>
      <c r="N302" s="7">
        <f t="shared" si="2"/>
        <v>34.4557723</v>
      </c>
      <c r="O302" s="9">
        <f t="shared" si="3"/>
        <v>8.613943075</v>
      </c>
      <c r="P302" s="9">
        <v>1.013405067594543</v>
      </c>
      <c r="Q302" s="9">
        <v>1.013405067594543</v>
      </c>
      <c r="R302" s="9">
        <v>1.013405067594543</v>
      </c>
      <c r="S302" s="9">
        <v>1.013405067594543</v>
      </c>
      <c r="T302" s="9">
        <v>1.013405067594543</v>
      </c>
      <c r="U302" s="9">
        <v>1.013405067594543</v>
      </c>
      <c r="V302" s="9">
        <v>1.013405067594543</v>
      </c>
      <c r="W302" s="9">
        <v>1.013405067594543</v>
      </c>
      <c r="X302" s="9">
        <v>1.013405067594543</v>
      </c>
      <c r="Y302" s="9">
        <v>1.013405067594543</v>
      </c>
      <c r="Z302" s="9">
        <v>1.013405067594543</v>
      </c>
      <c r="AA302" s="9">
        <v>1.013405067594543</v>
      </c>
      <c r="AB302" s="9">
        <v>1.013405067594543</v>
      </c>
      <c r="AC302" s="9">
        <v>1.013405067594543</v>
      </c>
      <c r="AD302" s="9">
        <v>1.013405067594543</v>
      </c>
      <c r="AE302" s="9">
        <v>1.013405067594543</v>
      </c>
      <c r="AF302" s="9">
        <v>1.013405067594543</v>
      </c>
      <c r="AG302" s="9">
        <v>1.013405067594543</v>
      </c>
      <c r="AH302" s="9">
        <v>1.013405067594543</v>
      </c>
      <c r="AI302" s="9">
        <v>1.013405067594543</v>
      </c>
      <c r="AJ302" s="9">
        <v>1.013405067594543</v>
      </c>
      <c r="AK302" s="9">
        <v>1.013405067594543</v>
      </c>
      <c r="AL302" s="9">
        <v>1.013405067594543</v>
      </c>
      <c r="AM302" s="9">
        <v>1.013405067594543</v>
      </c>
      <c r="AN302" s="9">
        <v>1.013405067594543</v>
      </c>
      <c r="AO302" s="9">
        <v>1.013405067594543</v>
      </c>
      <c r="AP302" s="9">
        <v>1.013405067594543</v>
      </c>
      <c r="AQ302" s="9">
        <v>1.013405067594543</v>
      </c>
      <c r="AR302" s="9">
        <v>1.013405067594543</v>
      </c>
      <c r="AS302" s="9">
        <v>1.013405067594543</v>
      </c>
      <c r="AT302" s="9">
        <v>1.013405067594543</v>
      </c>
      <c r="AU302" s="9">
        <v>1.013405067594543</v>
      </c>
      <c r="AV302" s="9">
        <v>1.013405067594543</v>
      </c>
      <c r="AW302" s="9">
        <v>1.013405067594543</v>
      </c>
    </row>
    <row r="303" ht="15.0" customHeight="1">
      <c r="A303" s="5" t="s">
        <v>664</v>
      </c>
      <c r="B303" s="5" t="s">
        <v>665</v>
      </c>
      <c r="C303" s="5" t="s">
        <v>100</v>
      </c>
      <c r="D303" s="5" t="s">
        <v>83</v>
      </c>
      <c r="E303" s="5">
        <v>4.5</v>
      </c>
      <c r="F303" s="6">
        <v>1.0</v>
      </c>
      <c r="G303" s="5">
        <v>87.0</v>
      </c>
      <c r="H303" s="5">
        <v>2985.0</v>
      </c>
      <c r="I303" s="5" t="b">
        <v>1</v>
      </c>
      <c r="J303" s="5" t="b">
        <v>0</v>
      </c>
      <c r="K303" s="7">
        <v>87.0</v>
      </c>
      <c r="L303" s="8">
        <v>0.06541328752499169</v>
      </c>
      <c r="M303" s="9">
        <f t="shared" si="1"/>
        <v>2.922867692</v>
      </c>
      <c r="N303" s="7">
        <f t="shared" si="2"/>
        <v>99.37750152</v>
      </c>
      <c r="O303" s="9">
        <f t="shared" si="3"/>
        <v>22.08388923</v>
      </c>
      <c r="P303" s="9">
        <v>2.94580045269785</v>
      </c>
      <c r="Q303" s="9">
        <v>2.449466393239552</v>
      </c>
      <c r="R303" s="9">
        <v>2.55889507295154</v>
      </c>
      <c r="S303" s="9">
        <v>2.875770003165105</v>
      </c>
      <c r="T303" s="9">
        <v>2.829147563636105</v>
      </c>
      <c r="U303" s="9">
        <v>2.718875978118169</v>
      </c>
      <c r="V303" s="9">
        <v>2.518494074023838</v>
      </c>
      <c r="W303" s="9">
        <v>3.643931976767115</v>
      </c>
      <c r="X303" s="9">
        <v>3.425588707913417</v>
      </c>
      <c r="Y303" s="9">
        <v>2.625050491507672</v>
      </c>
      <c r="Z303" s="9">
        <v>3.615177239185726</v>
      </c>
      <c r="AA303" s="9">
        <v>3.13600690712803</v>
      </c>
      <c r="AB303" s="9">
        <v>2.724542505590045</v>
      </c>
      <c r="AC303" s="9">
        <v>2.872386248097631</v>
      </c>
      <c r="AD303" s="9">
        <v>2.942165479870834</v>
      </c>
      <c r="AE303" s="9">
        <v>3.350320443195943</v>
      </c>
      <c r="AF303" s="9">
        <v>2.334937578624438</v>
      </c>
      <c r="AG303" s="9">
        <v>3.028406715401336</v>
      </c>
      <c r="AH303" s="9">
        <v>3.102860705339574</v>
      </c>
      <c r="AI303" s="9">
        <v>2.405582709446735</v>
      </c>
      <c r="AJ303" s="9">
        <v>3.432474552016266</v>
      </c>
      <c r="AK303" s="9">
        <v>2.933101232827283</v>
      </c>
      <c r="AL303" s="9">
        <v>2.88012521803644</v>
      </c>
      <c r="AM303" s="9">
        <v>3.125617962592784</v>
      </c>
      <c r="AN303" s="9">
        <v>3.657327677853314</v>
      </c>
      <c r="AO303" s="9">
        <v>2.564403731020767</v>
      </c>
      <c r="AP303" s="9">
        <v>2.936454305240781</v>
      </c>
      <c r="AQ303" s="9">
        <v>2.875296412772677</v>
      </c>
      <c r="AR303" s="9">
        <v>2.602871264137488</v>
      </c>
      <c r="AS303" s="9">
        <v>3.160805956681766</v>
      </c>
      <c r="AT303" s="9">
        <v>2.516219845255646</v>
      </c>
      <c r="AU303" s="9">
        <v>3.291748890023853</v>
      </c>
      <c r="AV303" s="9">
        <v>2.511447703559215</v>
      </c>
      <c r="AW303" s="9">
        <v>2.786199524623541</v>
      </c>
    </row>
    <row r="304" ht="15.0" customHeight="1">
      <c r="A304" s="5" t="s">
        <v>666</v>
      </c>
      <c r="B304" s="5" t="s">
        <v>667</v>
      </c>
      <c r="C304" s="5" t="s">
        <v>100</v>
      </c>
      <c r="D304" s="5" t="s">
        <v>83</v>
      </c>
      <c r="E304" s="5">
        <v>4.5</v>
      </c>
      <c r="F304" s="6">
        <v>0.4615384615</v>
      </c>
      <c r="G304" s="5">
        <v>87.0</v>
      </c>
      <c r="H304" s="5">
        <v>640.0</v>
      </c>
      <c r="I304" s="5" t="b">
        <v>0</v>
      </c>
      <c r="J304" s="5" t="b">
        <v>0</v>
      </c>
      <c r="K304" s="7">
        <v>48.89846153574</v>
      </c>
      <c r="L304" s="8">
        <v>0.06416288957996559</v>
      </c>
      <c r="M304" s="9">
        <f t="shared" si="1"/>
        <v>1.223742211</v>
      </c>
      <c r="N304" s="7">
        <f t="shared" si="2"/>
        <v>41.60723518</v>
      </c>
      <c r="O304" s="9">
        <f t="shared" si="3"/>
        <v>9.246052262</v>
      </c>
      <c r="P304" s="9">
        <v>1.225296846770038</v>
      </c>
      <c r="Q304" s="9">
        <v>1.190186148202242</v>
      </c>
      <c r="R304" s="9">
        <v>1.20977267854026</v>
      </c>
      <c r="S304" s="9">
        <v>1.231484346565369</v>
      </c>
      <c r="T304" s="9">
        <v>1.214842297540955</v>
      </c>
      <c r="U304" s="9">
        <v>1.211091038083885</v>
      </c>
      <c r="V304" s="9">
        <v>1.205430805349211</v>
      </c>
      <c r="W304" s="9">
        <v>1.252071763023823</v>
      </c>
      <c r="X304" s="9">
        <v>1.264924498024975</v>
      </c>
      <c r="Y304" s="9">
        <v>1.203504073993543</v>
      </c>
      <c r="Z304" s="9">
        <v>1.246135422720599</v>
      </c>
      <c r="AA304" s="9">
        <v>1.2258224543714</v>
      </c>
      <c r="AB304" s="9">
        <v>1.226762872507989</v>
      </c>
      <c r="AC304" s="9">
        <v>1.219462948721877</v>
      </c>
      <c r="AD304" s="9">
        <v>1.224115505612157</v>
      </c>
      <c r="AE304" s="9">
        <v>1.2481433510164</v>
      </c>
      <c r="AF304" s="9">
        <v>1.194693222774307</v>
      </c>
      <c r="AG304" s="9">
        <v>1.225579421143083</v>
      </c>
      <c r="AH304" s="9">
        <v>1.218948075178753</v>
      </c>
      <c r="AI304" s="9">
        <v>1.192618756423673</v>
      </c>
      <c r="AJ304" s="9">
        <v>1.253013284672753</v>
      </c>
      <c r="AK304" s="9">
        <v>1.23306456082775</v>
      </c>
      <c r="AL304" s="9">
        <v>1.228143905068692</v>
      </c>
      <c r="AM304" s="9">
        <v>1.223408127700789</v>
      </c>
      <c r="AN304" s="9">
        <v>1.255285237450207</v>
      </c>
      <c r="AO304" s="9">
        <v>1.203291772056527</v>
      </c>
      <c r="AP304" s="9">
        <v>1.233922948406895</v>
      </c>
      <c r="AQ304" s="9">
        <v>1.220456658784529</v>
      </c>
      <c r="AR304" s="9">
        <v>1.213852157632164</v>
      </c>
      <c r="AS304" s="9">
        <v>1.256536936182123</v>
      </c>
      <c r="AT304" s="9">
        <v>1.207940524091898</v>
      </c>
      <c r="AU304" s="9">
        <v>1.240670623114112</v>
      </c>
      <c r="AV304" s="9">
        <v>1.198908685782165</v>
      </c>
      <c r="AW304" s="9">
        <v>1.207853230870745</v>
      </c>
    </row>
    <row r="305" ht="15.0" customHeight="1">
      <c r="A305" s="5" t="s">
        <v>668</v>
      </c>
      <c r="B305" s="5" t="s">
        <v>669</v>
      </c>
      <c r="C305" s="5" t="s">
        <v>100</v>
      </c>
      <c r="D305" s="5" t="s">
        <v>52</v>
      </c>
      <c r="E305" s="5">
        <v>5.0</v>
      </c>
      <c r="F305" s="6">
        <v>0.1666666667</v>
      </c>
      <c r="G305" s="5">
        <v>74.0</v>
      </c>
      <c r="H305" s="5">
        <v>842.0</v>
      </c>
      <c r="I305" s="5" t="b">
        <v>0</v>
      </c>
      <c r="J305" s="5" t="b">
        <v>0</v>
      </c>
      <c r="K305" s="7">
        <v>31.458333335035</v>
      </c>
      <c r="L305" s="8">
        <v>0.07108207161342253</v>
      </c>
      <c r="M305" s="9">
        <f t="shared" si="1"/>
        <v>0.9874879741</v>
      </c>
      <c r="N305" s="7">
        <f t="shared" si="2"/>
        <v>33.57459112</v>
      </c>
      <c r="O305" s="9">
        <f t="shared" si="3"/>
        <v>6.714918224</v>
      </c>
      <c r="P305" s="9">
        <v>0.9888719247567072</v>
      </c>
      <c r="Q305" s="9">
        <v>0.9576160643566656</v>
      </c>
      <c r="R305" s="9">
        <v>0.9750521702428584</v>
      </c>
      <c r="S305" s="9">
        <v>0.9943800928569435</v>
      </c>
      <c r="T305" s="9">
        <v>0.97956519078163</v>
      </c>
      <c r="U305" s="9">
        <v>0.9762257857940561</v>
      </c>
      <c r="V305" s="9">
        <v>0.97118699558471</v>
      </c>
      <c r="W305" s="9">
        <v>1.01270719659088</v>
      </c>
      <c r="X305" s="9">
        <v>1.02414881716072</v>
      </c>
      <c r="Y305" s="9">
        <v>0.9694718019617505</v>
      </c>
      <c r="Z305" s="9">
        <v>1.007422612934806</v>
      </c>
      <c r="AA305" s="9">
        <v>0.9893398253819732</v>
      </c>
      <c r="AB305" s="9">
        <v>0.990176994085356</v>
      </c>
      <c r="AC305" s="9">
        <v>0.983678536119643</v>
      </c>
      <c r="AD305" s="9">
        <v>0.9878202842077662</v>
      </c>
      <c r="AE305" s="9">
        <v>1.00921008880589</v>
      </c>
      <c r="AF305" s="9">
        <v>0.9616283027735405</v>
      </c>
      <c r="AG305" s="9">
        <v>0.9891234750110967</v>
      </c>
      <c r="AH305" s="9">
        <v>0.9832201910497916</v>
      </c>
      <c r="AI305" s="9">
        <v>0.9597815941261807</v>
      </c>
      <c r="AJ305" s="9">
        <v>1.013545347650898</v>
      </c>
      <c r="AK305" s="9">
        <v>0.9957868138394886</v>
      </c>
      <c r="AL305" s="9">
        <v>0.9914064017213761</v>
      </c>
      <c r="AM305" s="9">
        <v>0.9871905700138119</v>
      </c>
      <c r="AN305" s="9">
        <v>1.015567860495822</v>
      </c>
      <c r="AO305" s="9">
        <v>0.969282808863444</v>
      </c>
      <c r="AP305" s="9">
        <v>0.9965509582011026</v>
      </c>
      <c r="AQ305" s="9">
        <v>0.9845631457760529</v>
      </c>
      <c r="AR305" s="9">
        <v>0.9786837593083743</v>
      </c>
      <c r="AS305" s="9">
        <v>1.016682133991466</v>
      </c>
      <c r="AT305" s="9">
        <v>0.9734211698354255</v>
      </c>
      <c r="AU305" s="9">
        <v>1.002557799058069</v>
      </c>
      <c r="AV305" s="9">
        <v>0.9653809459469808</v>
      </c>
      <c r="AW305" s="9">
        <v>0.9733434606229766</v>
      </c>
    </row>
    <row r="306" ht="15.0" customHeight="1">
      <c r="A306" s="5" t="s">
        <v>670</v>
      </c>
      <c r="B306" s="5" t="s">
        <v>671</v>
      </c>
      <c r="C306" s="5" t="s">
        <v>100</v>
      </c>
      <c r="D306" s="5" t="s">
        <v>52</v>
      </c>
      <c r="E306" s="5">
        <v>5.5</v>
      </c>
      <c r="F306" s="6">
        <v>0.2777777778</v>
      </c>
      <c r="G306" s="5">
        <v>60.0</v>
      </c>
      <c r="H306" s="5">
        <v>579.0</v>
      </c>
      <c r="I306" s="5" t="b">
        <v>0</v>
      </c>
      <c r="J306" s="5" t="b">
        <v>0</v>
      </c>
      <c r="K306" s="7">
        <v>33.24166666749</v>
      </c>
      <c r="L306" s="8">
        <v>0.0365953062373145</v>
      </c>
      <c r="M306" s="9">
        <f t="shared" si="1"/>
        <v>1.100152658</v>
      </c>
      <c r="N306" s="7">
        <f t="shared" si="2"/>
        <v>37.40519036</v>
      </c>
      <c r="O306" s="9">
        <f t="shared" si="3"/>
        <v>6.800943701</v>
      </c>
      <c r="P306" s="9">
        <v>1.102384477442518</v>
      </c>
      <c r="Q306" s="9">
        <v>1.051979896578945</v>
      </c>
      <c r="R306" s="9">
        <v>1.080098130978446</v>
      </c>
      <c r="S306" s="9">
        <v>1.111267192583457</v>
      </c>
      <c r="T306" s="9">
        <v>1.087376027212113</v>
      </c>
      <c r="U306" s="9">
        <v>1.081990755247813</v>
      </c>
      <c r="V306" s="9">
        <v>1.073864979623309</v>
      </c>
      <c r="W306" s="9">
        <v>1.140822289462219</v>
      </c>
      <c r="X306" s="9">
        <v>1.159273552100379</v>
      </c>
      <c r="Y306" s="9">
        <v>1.071098982637188</v>
      </c>
      <c r="Z306" s="9">
        <v>1.132300136470311</v>
      </c>
      <c r="AA306" s="9">
        <v>1.103139034655165</v>
      </c>
      <c r="AB306" s="9">
        <v>1.104489089878923</v>
      </c>
      <c r="AC306" s="9">
        <v>1.094009389565798</v>
      </c>
      <c r="AD306" s="9">
        <v>1.100688555448689</v>
      </c>
      <c r="AE306" s="9">
        <v>1.135182699002028</v>
      </c>
      <c r="AF306" s="9">
        <v>1.058450209446322</v>
      </c>
      <c r="AG306" s="9">
        <v>1.102790138492201</v>
      </c>
      <c r="AH306" s="9">
        <v>1.093270242063824</v>
      </c>
      <c r="AI306" s="9">
        <v>1.055472125523628</v>
      </c>
      <c r="AJ306" s="9">
        <v>1.142173928877672</v>
      </c>
      <c r="AK306" s="9">
        <v>1.113535732966274</v>
      </c>
      <c r="AL306" s="9">
        <v>1.106471686928274</v>
      </c>
      <c r="AM306" s="9">
        <v>1.099673050528847</v>
      </c>
      <c r="AN306" s="9">
        <v>1.145435522413565</v>
      </c>
      <c r="AO306" s="9">
        <v>1.070794204020176</v>
      </c>
      <c r="AP306" s="9">
        <v>1.114768025911451</v>
      </c>
      <c r="AQ306" s="9">
        <v>1.095435950165587</v>
      </c>
      <c r="AR306" s="9">
        <v>1.085954591890839</v>
      </c>
      <c r="AS306" s="9">
        <v>1.147232449063369</v>
      </c>
      <c r="AT306" s="9">
        <v>1.077467907689988</v>
      </c>
      <c r="AU306" s="9">
        <v>1.124454922763255</v>
      </c>
      <c r="AV306" s="9">
        <v>1.064501887559382</v>
      </c>
      <c r="AW306" s="9">
        <v>1.077342590382046</v>
      </c>
    </row>
    <row r="307" ht="15.0" customHeight="1">
      <c r="A307" s="5" t="s">
        <v>672</v>
      </c>
      <c r="B307" s="5" t="s">
        <v>673</v>
      </c>
      <c r="C307" s="5" t="s">
        <v>100</v>
      </c>
      <c r="D307" s="5" t="s">
        <v>52</v>
      </c>
      <c r="E307" s="5">
        <v>5.0</v>
      </c>
      <c r="F307" s="6">
        <v>0.03846153846</v>
      </c>
      <c r="G307" s="10">
        <v>57.0</v>
      </c>
      <c r="H307" s="5">
        <v>245.0</v>
      </c>
      <c r="I307" s="5" t="b">
        <v>0</v>
      </c>
      <c r="J307" s="5" t="b">
        <v>0</v>
      </c>
      <c r="K307" s="7">
        <v>24.259615384563</v>
      </c>
      <c r="L307" s="8">
        <v>0.00457163851809775</v>
      </c>
      <c r="M307" s="9">
        <f t="shared" si="1"/>
        <v>0.7227596122</v>
      </c>
      <c r="N307" s="7">
        <f t="shared" si="2"/>
        <v>24.57382681</v>
      </c>
      <c r="O307" s="9">
        <f t="shared" si="3"/>
        <v>4.914765363</v>
      </c>
      <c r="P307" s="9">
        <v>0.7230466430401651</v>
      </c>
      <c r="Q307" s="9">
        <v>0.7165641894043778</v>
      </c>
      <c r="R307" s="9">
        <v>0.7201804311762975</v>
      </c>
      <c r="S307" s="9">
        <v>0.7241890350226893</v>
      </c>
      <c r="T307" s="9">
        <v>0.7211164299306274</v>
      </c>
      <c r="U307" s="9">
        <v>0.720423838598122</v>
      </c>
      <c r="V307" s="9">
        <v>0.7193787954127966</v>
      </c>
      <c r="W307" s="9">
        <v>0.7279900694115345</v>
      </c>
      <c r="X307" s="9">
        <v>0.7303630571940805</v>
      </c>
      <c r="Y307" s="9">
        <v>0.7190230649035442</v>
      </c>
      <c r="Z307" s="9">
        <v>0.72689404875824</v>
      </c>
      <c r="AA307" s="9">
        <v>0.7231436854530315</v>
      </c>
      <c r="AB307" s="9">
        <v>0.7233173139257582</v>
      </c>
      <c r="AC307" s="9">
        <v>0.7219695361993518</v>
      </c>
      <c r="AD307" s="9">
        <v>0.7228285331877159</v>
      </c>
      <c r="AE307" s="9">
        <v>0.7272647705784391</v>
      </c>
      <c r="AF307" s="9">
        <v>0.7173963261358652</v>
      </c>
      <c r="AG307" s="9">
        <v>0.7230988144678678</v>
      </c>
      <c r="AH307" s="9">
        <v>0.7218744756050671</v>
      </c>
      <c r="AI307" s="9">
        <v>0.7170133194602498</v>
      </c>
      <c r="AJ307" s="9">
        <v>0.728163901624656</v>
      </c>
      <c r="AK307" s="9">
        <v>0.7244807884228877</v>
      </c>
      <c r="AL307" s="9">
        <v>0.7235722926048915</v>
      </c>
      <c r="AM307" s="9">
        <v>0.7226979307018506</v>
      </c>
      <c r="AN307" s="9">
        <v>0.728583370024412</v>
      </c>
      <c r="AO307" s="9">
        <v>0.7189838678063731</v>
      </c>
      <c r="AP307" s="9">
        <v>0.7246392716747262</v>
      </c>
      <c r="AQ307" s="9">
        <v>0.7221530039078087</v>
      </c>
      <c r="AR307" s="9">
        <v>0.7209336213761556</v>
      </c>
      <c r="AS307" s="9">
        <v>0.7288144699263392</v>
      </c>
      <c r="AT307" s="9">
        <v>0.7198421623081297</v>
      </c>
      <c r="AU307" s="9">
        <v>0.7258850881985544</v>
      </c>
      <c r="AV307" s="9">
        <v>0.7181746229119619</v>
      </c>
      <c r="AW307" s="9">
        <v>0.719826045446833</v>
      </c>
    </row>
    <row r="308" ht="15.0" customHeight="1">
      <c r="A308" s="5" t="s">
        <v>674</v>
      </c>
      <c r="B308" s="5" t="s">
        <v>371</v>
      </c>
      <c r="C308" s="5" t="s">
        <v>100</v>
      </c>
      <c r="D308" s="5" t="s">
        <v>52</v>
      </c>
      <c r="E308" s="5">
        <v>4.5</v>
      </c>
      <c r="F308" s="6">
        <v>0.0303030303</v>
      </c>
      <c r="G308" s="5">
        <v>64.0</v>
      </c>
      <c r="H308" s="5">
        <v>264.0</v>
      </c>
      <c r="I308" s="5" t="b">
        <v>0</v>
      </c>
      <c r="J308" s="5" t="b">
        <v>0</v>
      </c>
      <c r="K308" s="7">
        <v>24.193939393815</v>
      </c>
      <c r="L308" s="8">
        <v>0.03134510909026224</v>
      </c>
      <c r="M308" s="9">
        <f t="shared" si="1"/>
        <v>1.22316523</v>
      </c>
      <c r="N308" s="7">
        <f t="shared" si="2"/>
        <v>41.5876178</v>
      </c>
      <c r="O308" s="9">
        <f t="shared" si="3"/>
        <v>9.241692845</v>
      </c>
      <c r="P308" s="9">
        <v>1.226595673249824</v>
      </c>
      <c r="Q308" s="9">
        <v>1.14912074994021</v>
      </c>
      <c r="R308" s="9">
        <v>1.192340195799691</v>
      </c>
      <c r="S308" s="9">
        <v>1.240248949649206</v>
      </c>
      <c r="T308" s="9">
        <v>1.203526767394936</v>
      </c>
      <c r="U308" s="9">
        <v>1.195249275046279</v>
      </c>
      <c r="V308" s="9">
        <v>1.182759460974746</v>
      </c>
      <c r="W308" s="9">
        <v>1.285676941011497</v>
      </c>
      <c r="X308" s="9">
        <v>1.314037660084355</v>
      </c>
      <c r="Y308" s="9">
        <v>1.178507954450877</v>
      </c>
      <c r="Z308" s="9">
        <v>1.272577870685569</v>
      </c>
      <c r="AA308" s="9">
        <v>1.22775547383106</v>
      </c>
      <c r="AB308" s="9">
        <v>1.22983059127341</v>
      </c>
      <c r="AC308" s="9">
        <v>1.213722650999794</v>
      </c>
      <c r="AD308" s="9">
        <v>1.223988937430183</v>
      </c>
      <c r="AE308" s="9">
        <v>1.277008545581654</v>
      </c>
      <c r="AF308" s="9">
        <v>1.159066016513222</v>
      </c>
      <c r="AG308" s="9">
        <v>1.227219199091631</v>
      </c>
      <c r="AH308" s="9">
        <v>1.212586536086252</v>
      </c>
      <c r="AI308" s="9">
        <v>1.154488519397538</v>
      </c>
      <c r="AJ308" s="9">
        <v>1.287754493453365</v>
      </c>
      <c r="AK308" s="9">
        <v>1.24373583495154</v>
      </c>
      <c r="AL308" s="9">
        <v>1.232877964185172</v>
      </c>
      <c r="AM308" s="9">
        <v>1.222428044264576</v>
      </c>
      <c r="AN308" s="9">
        <v>1.292767762182737</v>
      </c>
      <c r="AO308" s="9">
        <v>1.17803949107761</v>
      </c>
      <c r="AP308" s="9">
        <v>1.24562994456989</v>
      </c>
      <c r="AQ308" s="9">
        <v>1.215915361883837</v>
      </c>
      <c r="AR308" s="9">
        <v>1.201341934377411</v>
      </c>
      <c r="AS308" s="9">
        <v>1.295529748335609</v>
      </c>
      <c r="AT308" s="9">
        <v>1.188297381752452</v>
      </c>
      <c r="AU308" s="9">
        <v>1.260519297439085</v>
      </c>
      <c r="AV308" s="9">
        <v>1.168367815866992</v>
      </c>
      <c r="AW308" s="9">
        <v>1.188104761386292</v>
      </c>
    </row>
    <row r="309" ht="15.0" customHeight="1">
      <c r="A309" s="5" t="s">
        <v>675</v>
      </c>
      <c r="B309" s="5" t="s">
        <v>676</v>
      </c>
      <c r="C309" s="5" t="s">
        <v>100</v>
      </c>
      <c r="D309" s="5" t="s">
        <v>52</v>
      </c>
      <c r="E309" s="5">
        <v>5.5</v>
      </c>
      <c r="F309" s="6"/>
      <c r="G309" s="10"/>
      <c r="H309" s="5">
        <v>2645.0</v>
      </c>
      <c r="I309" s="5" t="b">
        <v>1</v>
      </c>
      <c r="J309" s="5" t="b">
        <v>0</v>
      </c>
      <c r="K309" s="7">
        <v>74.05</v>
      </c>
      <c r="L309" s="8">
        <v>0.05954498516417903</v>
      </c>
      <c r="M309" s="9">
        <f t="shared" si="1"/>
        <v>2.610397752</v>
      </c>
      <c r="N309" s="7">
        <f t="shared" si="2"/>
        <v>88.75352356</v>
      </c>
      <c r="O309" s="9">
        <f t="shared" si="3"/>
        <v>16.13700428</v>
      </c>
      <c r="P309" s="9">
        <v>2.623645748204448</v>
      </c>
      <c r="Q309" s="9">
        <v>2.329814214439045</v>
      </c>
      <c r="R309" s="9">
        <v>2.452096029102076</v>
      </c>
      <c r="S309" s="9">
        <v>2.636269421572116</v>
      </c>
      <c r="T309" s="9">
        <v>2.54389554222503</v>
      </c>
      <c r="U309" s="9">
        <v>2.498270434167373</v>
      </c>
      <c r="V309" s="9">
        <v>2.420975447078082</v>
      </c>
      <c r="W309" s="9">
        <v>2.927185902305875</v>
      </c>
      <c r="X309" s="9">
        <v>2.93528943555089</v>
      </c>
      <c r="Y309" s="9">
        <v>2.438115241885095</v>
      </c>
      <c r="Z309" s="9">
        <v>2.891221117295741</v>
      </c>
      <c r="AA309" s="9">
        <v>2.673486808541718</v>
      </c>
      <c r="AB309" s="9">
        <v>2.575752195757204</v>
      </c>
      <c r="AC309" s="9">
        <v>2.577074859375797</v>
      </c>
      <c r="AD309" s="9">
        <v>2.617007641059625</v>
      </c>
      <c r="AE309" s="9">
        <v>2.835118347228609</v>
      </c>
      <c r="AF309" s="9">
        <v>2.323217588634055</v>
      </c>
      <c r="AG309" s="9">
        <v>2.645555214272707</v>
      </c>
      <c r="AH309" s="9">
        <v>2.631876853136158</v>
      </c>
      <c r="AI309" s="9">
        <v>2.330711888579193</v>
      </c>
      <c r="AJ309" s="9">
        <v>2.87918298040983</v>
      </c>
      <c r="AK309" s="9">
        <v>2.658193830194788</v>
      </c>
      <c r="AL309" s="9">
        <v>2.62113733117617</v>
      </c>
      <c r="AM309" s="9">
        <v>2.659184451608527</v>
      </c>
      <c r="AN309" s="9">
        <v>2.946114965522107</v>
      </c>
      <c r="AO309" s="9">
        <v>2.422006523797649</v>
      </c>
      <c r="AP309" s="9">
        <v>2.663194195655081</v>
      </c>
      <c r="AQ309" s="9">
        <v>2.582621979080127</v>
      </c>
      <c r="AR309" s="9">
        <v>2.482831794243417</v>
      </c>
      <c r="AS309" s="9">
        <v>2.828744139597867</v>
      </c>
      <c r="AT309" s="9">
        <v>2.432592492260635</v>
      </c>
      <c r="AU309" s="9">
        <v>2.78428260951933</v>
      </c>
      <c r="AV309" s="9">
        <v>2.387564419765254</v>
      </c>
      <c r="AW309" s="9">
        <v>2.499291918115392</v>
      </c>
    </row>
    <row r="310" ht="15.0" customHeight="1">
      <c r="A310" s="5" t="s">
        <v>677</v>
      </c>
      <c r="B310" s="5" t="s">
        <v>678</v>
      </c>
      <c r="C310" s="5" t="s">
        <v>100</v>
      </c>
      <c r="D310" s="5" t="s">
        <v>52</v>
      </c>
      <c r="E310" s="5">
        <v>5.0</v>
      </c>
      <c r="F310" s="6"/>
      <c r="G310" s="10"/>
      <c r="H310" s="5">
        <v>1737.0</v>
      </c>
      <c r="I310" s="5" t="b">
        <v>1</v>
      </c>
      <c r="J310" s="5" t="b">
        <v>0</v>
      </c>
      <c r="K310" s="7">
        <v>74.05</v>
      </c>
      <c r="L310" s="8">
        <v>0.06005598032926862</v>
      </c>
      <c r="M310" s="9">
        <f t="shared" si="1"/>
        <v>3.470781658</v>
      </c>
      <c r="N310" s="7">
        <f t="shared" si="2"/>
        <v>118.0065764</v>
      </c>
      <c r="O310" s="9">
        <f t="shared" si="3"/>
        <v>23.60131528</v>
      </c>
      <c r="P310" s="9">
        <v>3.497996517986163</v>
      </c>
      <c r="Q310" s="9">
        <v>2.888732675111342</v>
      </c>
      <c r="R310" s="9">
        <v>3.186958568897067</v>
      </c>
      <c r="S310" s="9">
        <v>3.566189415683165</v>
      </c>
      <c r="T310" s="9">
        <v>3.32432703213371</v>
      </c>
      <c r="U310" s="9">
        <v>3.244993981173244</v>
      </c>
      <c r="V310" s="9">
        <v>3.116833386264427</v>
      </c>
      <c r="W310" s="9">
        <v>4.042119162690325</v>
      </c>
      <c r="X310" s="9">
        <v>4.165642893248625</v>
      </c>
      <c r="Y310" s="9">
        <v>3.116679590198605</v>
      </c>
      <c r="Z310" s="9">
        <v>3.952829283846907</v>
      </c>
      <c r="AA310" s="9">
        <v>3.552581519843936</v>
      </c>
      <c r="AB310" s="9">
        <v>3.463244633670389</v>
      </c>
      <c r="AC310" s="9">
        <v>3.399015341553199</v>
      </c>
      <c r="AD310" s="9">
        <v>3.480746882667169</v>
      </c>
      <c r="AE310" s="9">
        <v>3.914730454161358</v>
      </c>
      <c r="AF310" s="9">
        <v>2.922605951800858</v>
      </c>
      <c r="AG310" s="9">
        <v>3.522454040429392</v>
      </c>
      <c r="AH310" s="9">
        <v>3.449220251610226</v>
      </c>
      <c r="AI310" s="9">
        <v>2.911475363420227</v>
      </c>
      <c r="AJ310" s="9">
        <v>4.002547861334014</v>
      </c>
      <c r="AK310" s="9">
        <v>3.602314565755225</v>
      </c>
      <c r="AL310" s="9">
        <v>3.521053193147825</v>
      </c>
      <c r="AM310" s="9">
        <v>3.516591850477589</v>
      </c>
      <c r="AN310" s="9">
        <v>4.089914037508139</v>
      </c>
      <c r="AO310" s="9">
        <v>3.098656652834435</v>
      </c>
      <c r="AP310" s="9">
        <v>3.61502557834651</v>
      </c>
      <c r="AQ310" s="9">
        <v>3.413488554594339</v>
      </c>
      <c r="AR310" s="9">
        <v>3.254342475999152</v>
      </c>
      <c r="AS310" s="9">
        <v>3.98372673704257</v>
      </c>
      <c r="AT310" s="9">
        <v>3.150993060186376</v>
      </c>
      <c r="AU310" s="9">
        <v>3.796765841997621</v>
      </c>
      <c r="AV310" s="9">
        <v>3.024838256884508</v>
      </c>
      <c r="AW310" s="9">
        <v>3.216940769209807</v>
      </c>
    </row>
    <row r="311" ht="15.0" customHeight="1">
      <c r="A311" s="5" t="s">
        <v>679</v>
      </c>
      <c r="B311" s="5" t="s">
        <v>680</v>
      </c>
      <c r="C311" s="5" t="s">
        <v>51</v>
      </c>
      <c r="D311" s="5" t="s">
        <v>103</v>
      </c>
      <c r="E311" s="5">
        <v>5.0</v>
      </c>
      <c r="F311" s="6">
        <v>0.04347826087</v>
      </c>
      <c r="G311" s="5">
        <v>90.0</v>
      </c>
      <c r="H311" s="5">
        <v>91.0</v>
      </c>
      <c r="I311" s="5" t="b">
        <v>0</v>
      </c>
      <c r="J311" s="5" t="b">
        <v>0</v>
      </c>
      <c r="K311" s="7">
        <v>3.9130434783</v>
      </c>
      <c r="L311" s="8">
        <v>0.08484164080320551</v>
      </c>
      <c r="M311" s="9">
        <f t="shared" si="1"/>
        <v>1.063166938</v>
      </c>
      <c r="N311" s="7">
        <f t="shared" si="2"/>
        <v>36.14767588</v>
      </c>
      <c r="O311" s="9">
        <f t="shared" si="3"/>
        <v>7.229535177</v>
      </c>
      <c r="P311" s="9">
        <v>1.063166937723117</v>
      </c>
      <c r="Q311" s="9">
        <v>1.063166937723117</v>
      </c>
      <c r="R311" s="9">
        <v>1.063166937723117</v>
      </c>
      <c r="S311" s="9">
        <v>1.063166937723117</v>
      </c>
      <c r="T311" s="9">
        <v>1.063166937723117</v>
      </c>
      <c r="U311" s="9">
        <v>1.063166937723117</v>
      </c>
      <c r="V311" s="9">
        <v>1.063166937723117</v>
      </c>
      <c r="W311" s="9">
        <v>1.063166937723117</v>
      </c>
      <c r="X311" s="9">
        <v>1.063166937723117</v>
      </c>
      <c r="Y311" s="9">
        <v>1.063166937723117</v>
      </c>
      <c r="Z311" s="9">
        <v>1.063166937723117</v>
      </c>
      <c r="AA311" s="9">
        <v>1.063166937723117</v>
      </c>
      <c r="AB311" s="9">
        <v>1.063166937723117</v>
      </c>
      <c r="AC311" s="9">
        <v>1.063166937723117</v>
      </c>
      <c r="AD311" s="9">
        <v>1.063166937723117</v>
      </c>
      <c r="AE311" s="9">
        <v>1.063166937723117</v>
      </c>
      <c r="AF311" s="9">
        <v>1.063166937723117</v>
      </c>
      <c r="AG311" s="9">
        <v>1.063166937723117</v>
      </c>
      <c r="AH311" s="9">
        <v>1.063166937723117</v>
      </c>
      <c r="AI311" s="9">
        <v>1.063166937723117</v>
      </c>
      <c r="AJ311" s="9">
        <v>1.063166937723117</v>
      </c>
      <c r="AK311" s="9">
        <v>1.063166937723117</v>
      </c>
      <c r="AL311" s="9">
        <v>1.063166937723117</v>
      </c>
      <c r="AM311" s="9">
        <v>1.063166937723117</v>
      </c>
      <c r="AN311" s="9">
        <v>1.063166937723117</v>
      </c>
      <c r="AO311" s="9">
        <v>1.063166937723117</v>
      </c>
      <c r="AP311" s="9">
        <v>1.063166937723117</v>
      </c>
      <c r="AQ311" s="9">
        <v>1.063166937723117</v>
      </c>
      <c r="AR311" s="9">
        <v>1.063166937723117</v>
      </c>
      <c r="AS311" s="9">
        <v>1.063166937723117</v>
      </c>
      <c r="AT311" s="9">
        <v>1.063166937723117</v>
      </c>
      <c r="AU311" s="9">
        <v>1.063166937723117</v>
      </c>
      <c r="AV311" s="9">
        <v>1.063166937723117</v>
      </c>
      <c r="AW311" s="9">
        <v>1.063166937723117</v>
      </c>
    </row>
    <row r="312" ht="15.0" customHeight="1">
      <c r="A312" s="5" t="s">
        <v>681</v>
      </c>
      <c r="B312" s="5" t="s">
        <v>682</v>
      </c>
      <c r="C312" s="5" t="s">
        <v>51</v>
      </c>
      <c r="D312" s="5" t="s">
        <v>103</v>
      </c>
      <c r="E312" s="5">
        <v>4.0</v>
      </c>
      <c r="F312" s="6"/>
      <c r="G312" s="5"/>
      <c r="H312" s="5">
        <v>1330.0</v>
      </c>
      <c r="I312" s="5" t="b">
        <v>0</v>
      </c>
      <c r="J312" s="5" t="b">
        <v>0</v>
      </c>
      <c r="K312" s="7">
        <v>0.0</v>
      </c>
      <c r="L312" s="8">
        <v>0.09962336207057391</v>
      </c>
      <c r="M312" s="9">
        <f t="shared" si="1"/>
        <v>0</v>
      </c>
      <c r="N312" s="7">
        <f t="shared" si="2"/>
        <v>0</v>
      </c>
      <c r="O312" s="9">
        <f t="shared" si="3"/>
        <v>0</v>
      </c>
      <c r="P312" s="9">
        <v>0.0</v>
      </c>
      <c r="Q312" s="9">
        <v>0.0</v>
      </c>
      <c r="R312" s="9">
        <v>0.0</v>
      </c>
      <c r="S312" s="9">
        <v>0.0</v>
      </c>
      <c r="T312" s="9">
        <v>0.0</v>
      </c>
      <c r="U312" s="9">
        <v>0.0</v>
      </c>
      <c r="V312" s="9">
        <v>0.0</v>
      </c>
      <c r="W312" s="9">
        <v>0.0</v>
      </c>
      <c r="X312" s="9">
        <v>0.0</v>
      </c>
      <c r="Y312" s="9">
        <v>0.0</v>
      </c>
      <c r="Z312" s="9">
        <v>0.0</v>
      </c>
      <c r="AA312" s="9">
        <v>0.0</v>
      </c>
      <c r="AB312" s="9">
        <v>0.0</v>
      </c>
      <c r="AC312" s="9">
        <v>0.0</v>
      </c>
      <c r="AD312" s="9">
        <v>0.0</v>
      </c>
      <c r="AE312" s="9">
        <v>0.0</v>
      </c>
      <c r="AF312" s="9">
        <v>0.0</v>
      </c>
      <c r="AG312" s="9">
        <v>0.0</v>
      </c>
      <c r="AH312" s="9">
        <v>0.0</v>
      </c>
      <c r="AI312" s="9">
        <v>0.0</v>
      </c>
      <c r="AJ312" s="9">
        <v>0.0</v>
      </c>
      <c r="AK312" s="9">
        <v>0.0</v>
      </c>
      <c r="AL312" s="9">
        <v>0.0</v>
      </c>
      <c r="AM312" s="9">
        <v>0.0</v>
      </c>
      <c r="AN312" s="9">
        <v>0.0</v>
      </c>
      <c r="AO312" s="9">
        <v>0.0</v>
      </c>
      <c r="AP312" s="9">
        <v>0.0</v>
      </c>
      <c r="AQ312" s="9">
        <v>0.0</v>
      </c>
      <c r="AR312" s="9">
        <v>0.0</v>
      </c>
      <c r="AS312" s="9">
        <v>0.0</v>
      </c>
      <c r="AT312" s="9">
        <v>0.0</v>
      </c>
      <c r="AU312" s="9">
        <v>0.0</v>
      </c>
      <c r="AV312" s="9">
        <v>0.0</v>
      </c>
      <c r="AW312" s="9">
        <v>0.0</v>
      </c>
    </row>
    <row r="313" ht="15.0" customHeight="1">
      <c r="A313" s="5" t="s">
        <v>683</v>
      </c>
      <c r="B313" s="5" t="s">
        <v>684</v>
      </c>
      <c r="C313" s="5" t="s">
        <v>51</v>
      </c>
      <c r="D313" s="5" t="s">
        <v>83</v>
      </c>
      <c r="E313" s="5">
        <v>5.5</v>
      </c>
      <c r="F313" s="6">
        <v>0.4411764706</v>
      </c>
      <c r="G313" s="5">
        <v>89.0</v>
      </c>
      <c r="H313" s="5">
        <v>1840.0</v>
      </c>
      <c r="I313" s="5" t="b">
        <v>1</v>
      </c>
      <c r="J313" s="5" t="b">
        <v>0</v>
      </c>
      <c r="K313" s="7">
        <v>80.76</v>
      </c>
      <c r="L313" s="8">
        <v>0.07054512871889278</v>
      </c>
      <c r="M313" s="9">
        <f t="shared" si="1"/>
        <v>3.703589645</v>
      </c>
      <c r="N313" s="7">
        <f t="shared" si="2"/>
        <v>125.9220479</v>
      </c>
      <c r="O313" s="9">
        <f t="shared" si="3"/>
        <v>22.8949178</v>
      </c>
      <c r="P313" s="9">
        <v>4.29583564389274</v>
      </c>
      <c r="Q313" s="9">
        <v>3.615599448910425</v>
      </c>
      <c r="R313" s="9">
        <v>3.625522804500739</v>
      </c>
      <c r="S313" s="9">
        <v>3.265337433009314</v>
      </c>
      <c r="T313" s="9">
        <v>3.1723993185256</v>
      </c>
      <c r="U313" s="9">
        <v>4.128403101332954</v>
      </c>
      <c r="V313" s="9">
        <v>2.992758103164205</v>
      </c>
      <c r="W313" s="9">
        <v>3.701634180106138</v>
      </c>
      <c r="X313" s="9">
        <v>3.892036337374823</v>
      </c>
      <c r="Y313" s="9">
        <v>3.401204060740639</v>
      </c>
      <c r="Z313" s="9">
        <v>4.529382456155108</v>
      </c>
      <c r="AA313" s="9">
        <v>3.922719338258295</v>
      </c>
      <c r="AB313" s="9">
        <v>3.090507760044186</v>
      </c>
      <c r="AC313" s="9">
        <v>4.303796402437497</v>
      </c>
      <c r="AD313" s="9">
        <v>3.089632763246684</v>
      </c>
      <c r="AE313" s="9">
        <v>3.995148006280942</v>
      </c>
      <c r="AF313" s="9">
        <v>4.300988772074472</v>
      </c>
      <c r="AG313" s="9">
        <v>2.912262886398137</v>
      </c>
      <c r="AH313" s="9">
        <v>3.703120358167202</v>
      </c>
      <c r="AI313" s="9">
        <v>4.473334520849427</v>
      </c>
      <c r="AJ313" s="9">
        <v>3.937103298021089</v>
      </c>
      <c r="AK313" s="9">
        <v>3.49280209927319</v>
      </c>
      <c r="AL313" s="9">
        <v>4.511096992516205</v>
      </c>
      <c r="AM313" s="9">
        <v>3.552602242759208</v>
      </c>
      <c r="AN313" s="9">
        <v>3.810364886025005</v>
      </c>
      <c r="AO313" s="9">
        <v>3.409592567727076</v>
      </c>
      <c r="AP313" s="9">
        <v>3.096448907788123</v>
      </c>
      <c r="AQ313" s="9">
        <v>3.611325027423579</v>
      </c>
      <c r="AR313" s="9">
        <v>3.701169835778291</v>
      </c>
      <c r="AS313" s="9">
        <v>3.708446946049061</v>
      </c>
      <c r="AT313" s="9">
        <v>3.696856957472468</v>
      </c>
      <c r="AU313" s="9">
        <v>4.201443250818904</v>
      </c>
      <c r="AV313" s="9">
        <v>3.62115743690327</v>
      </c>
      <c r="AW313" s="9">
        <v>3.160013779172996</v>
      </c>
    </row>
    <row r="314" ht="15.0" customHeight="1">
      <c r="A314" s="5" t="s">
        <v>685</v>
      </c>
      <c r="B314" s="5" t="s">
        <v>686</v>
      </c>
      <c r="C314" s="5" t="s">
        <v>51</v>
      </c>
      <c r="D314" s="5" t="s">
        <v>83</v>
      </c>
      <c r="E314" s="5">
        <v>4.0</v>
      </c>
      <c r="F314" s="6"/>
      <c r="G314" s="5"/>
      <c r="H314" s="5">
        <v>1556.0</v>
      </c>
      <c r="I314" s="5" t="b">
        <v>0</v>
      </c>
      <c r="J314" s="5" t="b">
        <v>0</v>
      </c>
      <c r="K314" s="7">
        <v>16.24</v>
      </c>
      <c r="L314" s="8">
        <v>0.07983289282863927</v>
      </c>
      <c r="M314" s="9">
        <f t="shared" si="1"/>
        <v>1.070736188</v>
      </c>
      <c r="N314" s="7">
        <f t="shared" si="2"/>
        <v>36.4050304</v>
      </c>
      <c r="O314" s="9">
        <f t="shared" si="3"/>
        <v>9.101257599</v>
      </c>
      <c r="P314" s="9">
        <v>0.0</v>
      </c>
      <c r="Q314" s="9">
        <v>0.0</v>
      </c>
      <c r="R314" s="9">
        <v>1.140478916572591</v>
      </c>
      <c r="S314" s="9">
        <v>1.115181264334487</v>
      </c>
      <c r="T314" s="9">
        <v>1.114963294472773</v>
      </c>
      <c r="U314" s="9">
        <v>1.153340066303339</v>
      </c>
      <c r="V314" s="9">
        <v>1.101507783612413</v>
      </c>
      <c r="W314" s="9">
        <v>1.146412245749764</v>
      </c>
      <c r="X314" s="9">
        <v>1.131037581285553</v>
      </c>
      <c r="Y314" s="9">
        <v>1.122970781174722</v>
      </c>
      <c r="Z314" s="9">
        <v>1.168344853874363</v>
      </c>
      <c r="AA314" s="9">
        <v>1.135616705928171</v>
      </c>
      <c r="AB314" s="9">
        <v>1.119736156428413</v>
      </c>
      <c r="AC314" s="9">
        <v>1.178241458323851</v>
      </c>
      <c r="AD314" s="9">
        <v>1.110463190881954</v>
      </c>
      <c r="AE314" s="9">
        <v>1.169629969796234</v>
      </c>
      <c r="AF314" s="9">
        <v>1.172056039322695</v>
      </c>
      <c r="AG314" s="9">
        <v>1.104005336320043</v>
      </c>
      <c r="AH314" s="9">
        <v>1.136342969040452</v>
      </c>
      <c r="AI314" s="9">
        <v>1.158950762236042</v>
      </c>
      <c r="AJ314" s="9">
        <v>1.138095489013819</v>
      </c>
      <c r="AK314" s="9">
        <v>1.119646532699065</v>
      </c>
      <c r="AL314" s="9">
        <v>1.165045587809317</v>
      </c>
      <c r="AM314" s="9">
        <v>1.12682218977044</v>
      </c>
      <c r="AN314" s="9">
        <v>1.137845967413061</v>
      </c>
      <c r="AO314" s="9">
        <v>1.139061013935855</v>
      </c>
      <c r="AP314" s="9">
        <v>1.11715943454366</v>
      </c>
      <c r="AQ314" s="9">
        <v>1.131566200649901</v>
      </c>
      <c r="AR314" s="9">
        <v>1.140883752686909</v>
      </c>
      <c r="AS314" s="9">
        <v>1.137555849019031</v>
      </c>
      <c r="AT314" s="9">
        <v>1.145530941393557</v>
      </c>
      <c r="AU314" s="9">
        <v>1.161012297138262</v>
      </c>
      <c r="AV314" s="9">
        <v>1.143908539407541</v>
      </c>
      <c r="AW314" s="9">
        <v>1.12161722476609</v>
      </c>
    </row>
    <row r="315" ht="15.0" customHeight="1">
      <c r="A315" s="5" t="s">
        <v>687</v>
      </c>
      <c r="B315" s="5" t="s">
        <v>688</v>
      </c>
      <c r="C315" s="5" t="s">
        <v>51</v>
      </c>
      <c r="D315" s="5" t="s">
        <v>83</v>
      </c>
      <c r="E315" s="5">
        <v>4.0</v>
      </c>
      <c r="F315" s="6"/>
      <c r="G315" s="10"/>
      <c r="H315" s="5">
        <v>2830.0</v>
      </c>
      <c r="I315" s="5" t="b">
        <v>0</v>
      </c>
      <c r="J315" s="5" t="b">
        <v>0</v>
      </c>
      <c r="K315" s="7">
        <v>16.24</v>
      </c>
      <c r="L315" s="8">
        <v>0.07434391616729653</v>
      </c>
      <c r="M315" s="9">
        <f t="shared" si="1"/>
        <v>1.082667791</v>
      </c>
      <c r="N315" s="7">
        <f t="shared" si="2"/>
        <v>36.81070488</v>
      </c>
      <c r="O315" s="9">
        <f t="shared" si="3"/>
        <v>9.20267622</v>
      </c>
      <c r="P315" s="9">
        <v>1.094547555861672</v>
      </c>
      <c r="Q315" s="9">
        <v>1.080196719096717</v>
      </c>
      <c r="R315" s="9">
        <v>1.083585227997325</v>
      </c>
      <c r="S315" s="9">
        <v>1.072724084250749</v>
      </c>
      <c r="T315" s="9">
        <v>1.072630502365038</v>
      </c>
      <c r="U315" s="9">
        <v>1.08910695762888</v>
      </c>
      <c r="V315" s="9">
        <v>1.066853593256537</v>
      </c>
      <c r="W315" s="9">
        <v>1.086132608302916</v>
      </c>
      <c r="X315" s="9">
        <v>1.079531741185704</v>
      </c>
      <c r="Y315" s="9">
        <v>1.076068389142044</v>
      </c>
      <c r="Z315" s="9">
        <v>1.095549023997801</v>
      </c>
      <c r="AA315" s="9">
        <v>1.081497715360258</v>
      </c>
      <c r="AB315" s="9">
        <v>1.074679654566786</v>
      </c>
      <c r="AC315" s="9">
        <v>1.099797973367379</v>
      </c>
      <c r="AD315" s="9">
        <v>1.070698454619487</v>
      </c>
      <c r="AE315" s="9">
        <v>1.096100768034247</v>
      </c>
      <c r="AF315" s="9">
        <v>1.097142362314146</v>
      </c>
      <c r="AG315" s="9">
        <v>1.067925877700837</v>
      </c>
      <c r="AH315" s="9">
        <v>1.08180952485096</v>
      </c>
      <c r="AI315" s="9">
        <v>1.091515820493697</v>
      </c>
      <c r="AJ315" s="9">
        <v>1.082561941366545</v>
      </c>
      <c r="AK315" s="9">
        <v>1.074641176047183</v>
      </c>
      <c r="AL315" s="9">
        <v>1.094132536702719</v>
      </c>
      <c r="AM315" s="9">
        <v>1.077721930031577</v>
      </c>
      <c r="AN315" s="9">
        <v>1.082454813244607</v>
      </c>
      <c r="AO315" s="9">
        <v>1.082976474101458</v>
      </c>
      <c r="AP315" s="9">
        <v>1.073573380098237</v>
      </c>
      <c r="AQ315" s="9">
        <v>1.079758695483651</v>
      </c>
      <c r="AR315" s="9">
        <v>1.083759037929964</v>
      </c>
      <c r="AS315" s="9">
        <v>1.082330255536587</v>
      </c>
      <c r="AT315" s="9">
        <v>1.085754234325476</v>
      </c>
      <c r="AU315" s="9">
        <v>1.092400907643321</v>
      </c>
      <c r="AV315" s="9">
        <v>1.085057681893693</v>
      </c>
      <c r="AW315" s="9">
        <v>1.075487261273541</v>
      </c>
    </row>
    <row r="316" ht="15.0" customHeight="1">
      <c r="A316" s="5" t="s">
        <v>689</v>
      </c>
      <c r="B316" s="5" t="s">
        <v>409</v>
      </c>
      <c r="C316" s="5" t="s">
        <v>51</v>
      </c>
      <c r="D316" s="5" t="s">
        <v>52</v>
      </c>
      <c r="E316" s="5">
        <v>5.0</v>
      </c>
      <c r="F316" s="6">
        <v>0.07142857143</v>
      </c>
      <c r="G316" s="5">
        <v>90.0</v>
      </c>
      <c r="H316" s="5">
        <v>2213.0</v>
      </c>
      <c r="I316" s="5" t="b">
        <v>0</v>
      </c>
      <c r="J316" s="5" t="b">
        <v>0</v>
      </c>
      <c r="K316" s="7">
        <v>27.7392857143815</v>
      </c>
      <c r="L316" s="8">
        <v>0.06557368926372065</v>
      </c>
      <c r="M316" s="9">
        <f t="shared" si="1"/>
        <v>1.319067726</v>
      </c>
      <c r="N316" s="7">
        <f t="shared" si="2"/>
        <v>44.84830267</v>
      </c>
      <c r="O316" s="9">
        <f t="shared" si="3"/>
        <v>8.969660534</v>
      </c>
      <c r="P316" s="9">
        <v>1.415448744216218</v>
      </c>
      <c r="Q316" s="9">
        <v>1.299019822082979</v>
      </c>
      <c r="R316" s="9">
        <v>1.326510932559557</v>
      </c>
      <c r="S316" s="9">
        <v>1.238394031764186</v>
      </c>
      <c r="T316" s="9">
        <v>1.237634798120673</v>
      </c>
      <c r="U316" s="9">
        <v>1.371308949556241</v>
      </c>
      <c r="V316" s="9">
        <v>1.190766499652742</v>
      </c>
      <c r="W316" s="9">
        <v>1.34717793254716</v>
      </c>
      <c r="X316" s="9">
        <v>1.293624829255053</v>
      </c>
      <c r="Y316" s="9">
        <v>1.265526513316015</v>
      </c>
      <c r="Z316" s="9">
        <v>1.423573695921128</v>
      </c>
      <c r="AA316" s="9">
        <v>1.309574857663439</v>
      </c>
      <c r="AB316" s="9">
        <v>1.25425965324544</v>
      </c>
      <c r="AC316" s="9">
        <v>1.458045594905216</v>
      </c>
      <c r="AD316" s="9">
        <v>1.221960016210133</v>
      </c>
      <c r="AE316" s="9">
        <v>1.428050017720962</v>
      </c>
      <c r="AF316" s="9">
        <v>1.436500514461676</v>
      </c>
      <c r="AG316" s="9">
        <v>1.199465986945007</v>
      </c>
      <c r="AH316" s="9">
        <v>1.31210458073868</v>
      </c>
      <c r="AI316" s="9">
        <v>1.390852151915167</v>
      </c>
      <c r="AJ316" s="9">
        <v>1.318208966520477</v>
      </c>
      <c r="AK316" s="9">
        <v>1.253947475451485</v>
      </c>
      <c r="AL316" s="9">
        <v>1.412081676906282</v>
      </c>
      <c r="AM316" s="9">
        <v>1.278941757780483</v>
      </c>
      <c r="AN316" s="9">
        <v>1.317339831711705</v>
      </c>
      <c r="AO316" s="9">
        <v>1.321572087452402</v>
      </c>
      <c r="AP316" s="9">
        <v>1.245284403504516</v>
      </c>
      <c r="AQ316" s="9">
        <v>1.295466118701531</v>
      </c>
      <c r="AR316" s="9">
        <v>1.32792105960961</v>
      </c>
      <c r="AS316" s="9">
        <v>1.316329289962415</v>
      </c>
      <c r="AT316" s="9">
        <v>1.344108169084704</v>
      </c>
      <c r="AU316" s="9">
        <v>1.398032899944878</v>
      </c>
      <c r="AV316" s="9">
        <v>1.338457010886056</v>
      </c>
      <c r="AW316" s="9">
        <v>1.26081179929205</v>
      </c>
    </row>
    <row r="317" ht="15.0" customHeight="1">
      <c r="A317" s="5" t="s">
        <v>690</v>
      </c>
      <c r="B317" s="5" t="s">
        <v>691</v>
      </c>
      <c r="C317" s="5" t="s">
        <v>51</v>
      </c>
      <c r="D317" s="5" t="s">
        <v>52</v>
      </c>
      <c r="E317" s="5">
        <v>4.5</v>
      </c>
      <c r="F317" s="6"/>
      <c r="G317" s="5"/>
      <c r="H317" s="5">
        <v>1375.0</v>
      </c>
      <c r="I317" s="5" t="b">
        <v>0</v>
      </c>
      <c r="J317" s="5" t="b">
        <v>0</v>
      </c>
      <c r="K317" s="7">
        <v>22.95</v>
      </c>
      <c r="L317" s="8">
        <v>0.06782552661103455</v>
      </c>
      <c r="M317" s="9">
        <f t="shared" si="1"/>
        <v>1.14070009</v>
      </c>
      <c r="N317" s="7">
        <f t="shared" si="2"/>
        <v>38.78380306</v>
      </c>
      <c r="O317" s="9">
        <f t="shared" si="3"/>
        <v>8.618622903</v>
      </c>
      <c r="P317" s="9">
        <v>1.173394789023733</v>
      </c>
      <c r="Q317" s="9">
        <v>1.133899371713083</v>
      </c>
      <c r="R317" s="9">
        <v>1.143225000265781</v>
      </c>
      <c r="S317" s="9">
        <v>1.113333683698823</v>
      </c>
      <c r="T317" s="9">
        <v>1.113076133864663</v>
      </c>
      <c r="U317" s="9">
        <v>1.158421536861292</v>
      </c>
      <c r="V317" s="9">
        <v>1.097177309305309</v>
      </c>
      <c r="W317" s="9">
        <v>1.150235730710709</v>
      </c>
      <c r="X317" s="9">
        <v>1.13206926378781</v>
      </c>
      <c r="Y317" s="9">
        <v>1.122537656920671</v>
      </c>
      <c r="Z317" s="9">
        <v>1.176150962939412</v>
      </c>
      <c r="AA317" s="9">
        <v>1.137479886995204</v>
      </c>
      <c r="AB317" s="9">
        <v>1.118715674099609</v>
      </c>
      <c r="AC317" s="9">
        <v>1.187844638453381</v>
      </c>
      <c r="AD317" s="9">
        <v>1.107758880715984</v>
      </c>
      <c r="AE317" s="9">
        <v>1.177669436135436</v>
      </c>
      <c r="AF317" s="9">
        <v>1.180536042551965</v>
      </c>
      <c r="AG317" s="9">
        <v>1.100128379148621</v>
      </c>
      <c r="AH317" s="9">
        <v>1.138338028311867</v>
      </c>
      <c r="AI317" s="9">
        <v>1.165051048829709</v>
      </c>
      <c r="AJ317" s="9">
        <v>1.140408778942036</v>
      </c>
      <c r="AK317" s="9">
        <v>1.118609776080273</v>
      </c>
      <c r="AL317" s="9">
        <v>1.172252600930926</v>
      </c>
      <c r="AM317" s="9">
        <v>1.127088422046215</v>
      </c>
      <c r="AN317" s="9">
        <v>1.140113948058586</v>
      </c>
      <c r="AO317" s="9">
        <v>1.141549628330992</v>
      </c>
      <c r="AP317" s="9">
        <v>1.115671059174981</v>
      </c>
      <c r="AQ317" s="9">
        <v>1.132693872293549</v>
      </c>
      <c r="AR317" s="9">
        <v>1.143703348388244</v>
      </c>
      <c r="AS317" s="9">
        <v>1.13977114862897</v>
      </c>
      <c r="AT317" s="9">
        <v>1.149194395046225</v>
      </c>
      <c r="AU317" s="9">
        <v>1.167486926744232</v>
      </c>
      <c r="AV317" s="9">
        <v>1.147277389827464</v>
      </c>
      <c r="AW317" s="9">
        <v>1.120938315498754</v>
      </c>
    </row>
    <row r="318" ht="15.0" customHeight="1">
      <c r="A318" s="5" t="s">
        <v>692</v>
      </c>
      <c r="B318" s="5" t="s">
        <v>693</v>
      </c>
      <c r="C318" s="5" t="s">
        <v>51</v>
      </c>
      <c r="D318" s="5" t="s">
        <v>52</v>
      </c>
      <c r="E318" s="5">
        <v>4.5</v>
      </c>
      <c r="F318" s="6"/>
      <c r="G318" s="10"/>
      <c r="H318" s="5">
        <v>1313.0</v>
      </c>
      <c r="I318" s="5" t="b">
        <v>0</v>
      </c>
      <c r="J318" s="5" t="b">
        <v>0</v>
      </c>
      <c r="K318" s="7">
        <v>22.95</v>
      </c>
      <c r="L318" s="8">
        <v>0.01371908757699832</v>
      </c>
      <c r="M318" s="9">
        <f t="shared" si="1"/>
        <v>1.121865953</v>
      </c>
      <c r="N318" s="7">
        <f t="shared" si="2"/>
        <v>38.14344239</v>
      </c>
      <c r="O318" s="9">
        <f t="shared" si="3"/>
        <v>8.476320532</v>
      </c>
      <c r="P318" s="9">
        <v>1.17091466021578</v>
      </c>
      <c r="Q318" s="9">
        <v>1.111663489951403</v>
      </c>
      <c r="R318" s="9">
        <v>1.125653832194205</v>
      </c>
      <c r="S318" s="9">
        <v>1.080810769177432</v>
      </c>
      <c r="T318" s="9">
        <v>1.080424391969278</v>
      </c>
      <c r="U318" s="9">
        <v>1.148451732268719</v>
      </c>
      <c r="V318" s="9">
        <v>1.056572916909266</v>
      </c>
      <c r="W318" s="9">
        <v>1.136171355784417</v>
      </c>
      <c r="X318" s="9">
        <v>1.108917955313053</v>
      </c>
      <c r="Y318" s="9">
        <v>1.094618603645596</v>
      </c>
      <c r="Z318" s="9">
        <v>1.175049482457856</v>
      </c>
      <c r="AA318" s="9">
        <v>1.117034992142316</v>
      </c>
      <c r="AB318" s="9">
        <v>1.088884850964947</v>
      </c>
      <c r="AC318" s="9">
        <v>1.192592377458681</v>
      </c>
      <c r="AD318" s="9">
        <v>1.072447429245398</v>
      </c>
      <c r="AE318" s="9">
        <v>1.177327501529583</v>
      </c>
      <c r="AF318" s="9">
        <v>1.181627995015468</v>
      </c>
      <c r="AG318" s="9">
        <v>1.061000122738561</v>
      </c>
      <c r="AH318" s="9">
        <v>1.118322378900749</v>
      </c>
      <c r="AI318" s="9">
        <v>1.158397350498825</v>
      </c>
      <c r="AJ318" s="9">
        <v>1.121428926609769</v>
      </c>
      <c r="AK318" s="9">
        <v>1.088725982366978</v>
      </c>
      <c r="AL318" s="9">
        <v>1.169201145439406</v>
      </c>
      <c r="AM318" s="9">
        <v>1.101445678218981</v>
      </c>
      <c r="AN318" s="9">
        <v>1.120986620234397</v>
      </c>
      <c r="AO318" s="9">
        <v>1.123140433057704</v>
      </c>
      <c r="AP318" s="9">
        <v>1.084317308460721</v>
      </c>
      <c r="AQ318" s="9">
        <v>1.109854995289894</v>
      </c>
      <c r="AR318" s="9">
        <v>1.126371451806293</v>
      </c>
      <c r="AS318" s="9">
        <v>1.120472351269697</v>
      </c>
      <c r="AT318" s="9">
        <v>1.134609140191824</v>
      </c>
      <c r="AU318" s="9">
        <v>1.162051663502316</v>
      </c>
      <c r="AV318" s="9">
        <v>1.131733241914282</v>
      </c>
      <c r="AW318" s="9">
        <v>1.09221926576405</v>
      </c>
    </row>
    <row r="319" ht="15.0" customHeight="1">
      <c r="A319" s="5" t="s">
        <v>694</v>
      </c>
      <c r="B319" s="5" t="s">
        <v>695</v>
      </c>
      <c r="C319" s="5" t="s">
        <v>51</v>
      </c>
      <c r="D319" s="5" t="s">
        <v>56</v>
      </c>
      <c r="E319" s="5">
        <v>9.5</v>
      </c>
      <c r="F319" s="6">
        <v>1.0</v>
      </c>
      <c r="G319" s="10">
        <v>56.0</v>
      </c>
      <c r="H319" s="5">
        <v>118.0</v>
      </c>
      <c r="I319" s="5" t="b">
        <v>1</v>
      </c>
      <c r="J319" s="5" t="b">
        <v>0</v>
      </c>
      <c r="K319" s="7">
        <v>56.0</v>
      </c>
      <c r="L319" s="8">
        <v>0.1404052559023535</v>
      </c>
      <c r="M319" s="9">
        <f t="shared" si="1"/>
        <v>2.277936437</v>
      </c>
      <c r="N319" s="7">
        <f t="shared" si="2"/>
        <v>77.44983885</v>
      </c>
      <c r="O319" s="9">
        <f t="shared" si="3"/>
        <v>8.152614616</v>
      </c>
      <c r="P319" s="9">
        <v>2.513363083364871</v>
      </c>
      <c r="Q319" s="9">
        <v>2.228966102696555</v>
      </c>
      <c r="R319" s="9">
        <v>2.296117706194272</v>
      </c>
      <c r="S319" s="9">
        <v>2.08087754015224</v>
      </c>
      <c r="T319" s="9">
        <v>2.079022985872422</v>
      </c>
      <c r="U319" s="9">
        <v>2.405544303472265</v>
      </c>
      <c r="V319" s="9">
        <v>1.964539382235798</v>
      </c>
      <c r="W319" s="9">
        <v>2.346600286366407</v>
      </c>
      <c r="X319" s="9">
        <v>2.215787936628559</v>
      </c>
      <c r="Y319" s="9">
        <v>2.147153132934492</v>
      </c>
      <c r="Z319" s="9">
        <v>2.53320962742467</v>
      </c>
      <c r="AA319" s="9">
        <v>2.254748530249169</v>
      </c>
      <c r="AB319" s="9">
        <v>2.119631955833694</v>
      </c>
      <c r="AC319" s="9">
        <v>2.617412966331807</v>
      </c>
      <c r="AD319" s="9">
        <v>2.040734727540092</v>
      </c>
      <c r="AE319" s="9">
        <v>2.544143786919127</v>
      </c>
      <c r="AF319" s="9">
        <v>2.564785528800548</v>
      </c>
      <c r="AG319" s="9">
        <v>1.985789324895675</v>
      </c>
      <c r="AH319" s="9">
        <v>2.260927799036888</v>
      </c>
      <c r="AI319" s="9">
        <v>2.453281821278261</v>
      </c>
      <c r="AJ319" s="9">
        <v>2.27583877522192</v>
      </c>
      <c r="AK319" s="9">
        <v>2.118869409720531</v>
      </c>
      <c r="AL319" s="9">
        <v>2.505138462204528</v>
      </c>
      <c r="AM319" s="9">
        <v>2.179922095755053</v>
      </c>
      <c r="AN319" s="9">
        <v>2.273715769091832</v>
      </c>
      <c r="AO319" s="9">
        <v>2.284053756698492</v>
      </c>
      <c r="AP319" s="9">
        <v>2.097708417589975</v>
      </c>
      <c r="AQ319" s="9">
        <v>2.220285591932073</v>
      </c>
      <c r="AR319" s="9">
        <v>2.299562175730242</v>
      </c>
      <c r="AS319" s="9">
        <v>2.271247353022424</v>
      </c>
      <c r="AT319" s="9">
        <v>2.339101879234463</v>
      </c>
      <c r="AU319" s="9">
        <v>2.470821991033099</v>
      </c>
      <c r="AV319" s="9">
        <v>2.32529798670048</v>
      </c>
      <c r="AW319" s="9">
        <v>2.13563666083664</v>
      </c>
    </row>
    <row r="320" ht="15.0" customHeight="1">
      <c r="A320" s="5" t="s">
        <v>696</v>
      </c>
      <c r="B320" s="5" t="s">
        <v>697</v>
      </c>
      <c r="C320" s="5" t="s">
        <v>76</v>
      </c>
      <c r="D320" s="5" t="s">
        <v>103</v>
      </c>
      <c r="E320" s="5">
        <v>4.5</v>
      </c>
      <c r="F320" s="6">
        <v>0.1379310345</v>
      </c>
      <c r="G320" s="5">
        <v>90.0</v>
      </c>
      <c r="H320" s="5">
        <v>414.0</v>
      </c>
      <c r="I320" s="5" t="b">
        <v>0</v>
      </c>
      <c r="J320" s="5" t="b">
        <v>0</v>
      </c>
      <c r="K320" s="7">
        <v>12.413793105</v>
      </c>
      <c r="L320" s="8">
        <v>0.06299716182393218</v>
      </c>
      <c r="M320" s="9">
        <f t="shared" si="1"/>
        <v>1.062992844</v>
      </c>
      <c r="N320" s="7">
        <f t="shared" si="2"/>
        <v>36.14175669</v>
      </c>
      <c r="O320" s="9">
        <f t="shared" si="3"/>
        <v>8.031501486</v>
      </c>
      <c r="P320" s="9">
        <v>1.06299284374815</v>
      </c>
      <c r="Q320" s="9">
        <v>1.06299284374815</v>
      </c>
      <c r="R320" s="9">
        <v>1.06299284374815</v>
      </c>
      <c r="S320" s="9">
        <v>1.06299284374815</v>
      </c>
      <c r="T320" s="9">
        <v>1.06299284374815</v>
      </c>
      <c r="U320" s="9">
        <v>1.06299284374815</v>
      </c>
      <c r="V320" s="9">
        <v>1.06299284374815</v>
      </c>
      <c r="W320" s="9">
        <v>1.06299284374815</v>
      </c>
      <c r="X320" s="9">
        <v>1.06299284374815</v>
      </c>
      <c r="Y320" s="9">
        <v>1.06299284374815</v>
      </c>
      <c r="Z320" s="9">
        <v>1.06299284374815</v>
      </c>
      <c r="AA320" s="9">
        <v>1.06299284374815</v>
      </c>
      <c r="AB320" s="9">
        <v>1.06299284374815</v>
      </c>
      <c r="AC320" s="9">
        <v>1.06299284374815</v>
      </c>
      <c r="AD320" s="9">
        <v>1.06299284374815</v>
      </c>
      <c r="AE320" s="9">
        <v>1.06299284374815</v>
      </c>
      <c r="AF320" s="9">
        <v>1.06299284374815</v>
      </c>
      <c r="AG320" s="9">
        <v>1.06299284374815</v>
      </c>
      <c r="AH320" s="9">
        <v>1.06299284374815</v>
      </c>
      <c r="AI320" s="9">
        <v>1.06299284374815</v>
      </c>
      <c r="AJ320" s="9">
        <v>1.06299284374815</v>
      </c>
      <c r="AK320" s="9">
        <v>1.06299284374815</v>
      </c>
      <c r="AL320" s="9">
        <v>1.06299284374815</v>
      </c>
      <c r="AM320" s="9">
        <v>1.06299284374815</v>
      </c>
      <c r="AN320" s="9">
        <v>1.06299284374815</v>
      </c>
      <c r="AO320" s="9">
        <v>1.06299284374815</v>
      </c>
      <c r="AP320" s="9">
        <v>1.06299284374815</v>
      </c>
      <c r="AQ320" s="9">
        <v>1.06299284374815</v>
      </c>
      <c r="AR320" s="9">
        <v>1.06299284374815</v>
      </c>
      <c r="AS320" s="9">
        <v>1.06299284374815</v>
      </c>
      <c r="AT320" s="9">
        <v>1.06299284374815</v>
      </c>
      <c r="AU320" s="9">
        <v>1.06299284374815</v>
      </c>
      <c r="AV320" s="9">
        <v>1.06299284374815</v>
      </c>
      <c r="AW320" s="9">
        <v>1.06299284374815</v>
      </c>
    </row>
    <row r="321" ht="15.0" customHeight="1">
      <c r="A321" s="5" t="s">
        <v>698</v>
      </c>
      <c r="B321" s="5" t="s">
        <v>699</v>
      </c>
      <c r="C321" s="5" t="s">
        <v>76</v>
      </c>
      <c r="D321" s="5" t="s">
        <v>83</v>
      </c>
      <c r="E321" s="5">
        <v>4.5</v>
      </c>
      <c r="F321" s="6">
        <v>0.1785714286</v>
      </c>
      <c r="G321" s="5">
        <v>73.0</v>
      </c>
      <c r="H321" s="5">
        <v>644.0</v>
      </c>
      <c r="I321" s="5" t="b">
        <v>0</v>
      </c>
      <c r="J321" s="5" t="b">
        <v>0</v>
      </c>
      <c r="K321" s="7">
        <v>26.375714287336</v>
      </c>
      <c r="L321" s="8">
        <v>0.0721314874060452</v>
      </c>
      <c r="M321" s="9">
        <f t="shared" si="1"/>
        <v>1.204205312</v>
      </c>
      <c r="N321" s="7">
        <f t="shared" si="2"/>
        <v>40.94298062</v>
      </c>
      <c r="O321" s="9">
        <f t="shared" si="3"/>
        <v>9.098440138</v>
      </c>
      <c r="P321" s="9">
        <v>0.0</v>
      </c>
      <c r="Q321" s="9">
        <v>1.187383069851459</v>
      </c>
      <c r="R321" s="9">
        <v>1.320581350060747</v>
      </c>
      <c r="S321" s="9">
        <v>1.241350846990805</v>
      </c>
      <c r="T321" s="9">
        <v>1.226117913570794</v>
      </c>
      <c r="U321" s="9">
        <v>1.314921291336261</v>
      </c>
      <c r="V321" s="9">
        <v>1.21505006086728</v>
      </c>
      <c r="W321" s="9">
        <v>1.16678695186003</v>
      </c>
      <c r="X321" s="9">
        <v>1.294816124200473</v>
      </c>
      <c r="Y321" s="9">
        <v>1.224884636200763</v>
      </c>
      <c r="Z321" s="9">
        <v>1.254912785854474</v>
      </c>
      <c r="AA321" s="9">
        <v>1.206064663463786</v>
      </c>
      <c r="AB321" s="9">
        <v>1.192506699505454</v>
      </c>
      <c r="AC321" s="9">
        <v>1.237262190067782</v>
      </c>
      <c r="AD321" s="9">
        <v>1.304225855373513</v>
      </c>
      <c r="AE321" s="9">
        <v>1.33501203079774</v>
      </c>
      <c r="AF321" s="9">
        <v>1.187891596999595</v>
      </c>
      <c r="AG321" s="9">
        <v>1.176884256724919</v>
      </c>
      <c r="AH321" s="9">
        <v>1.276916687848854</v>
      </c>
      <c r="AI321" s="9">
        <v>1.155991149378051</v>
      </c>
      <c r="AJ321" s="9">
        <v>1.240091858314977</v>
      </c>
      <c r="AK321" s="9">
        <v>1.243603431963772</v>
      </c>
      <c r="AL321" s="9">
        <v>1.31192309548646</v>
      </c>
      <c r="AM321" s="9">
        <v>1.228498148774187</v>
      </c>
      <c r="AN321" s="9">
        <v>1.161817979499163</v>
      </c>
      <c r="AO321" s="9">
        <v>1.306481083591248</v>
      </c>
      <c r="AP321" s="9">
        <v>1.247855910410015</v>
      </c>
      <c r="AQ321" s="9">
        <v>1.246911421327636</v>
      </c>
      <c r="AR321" s="9">
        <v>1.198518232573778</v>
      </c>
      <c r="AS321" s="9">
        <v>1.290006530542138</v>
      </c>
      <c r="AT321" s="9">
        <v>1.240768709134524</v>
      </c>
      <c r="AU321" s="9">
        <v>1.235567806695788</v>
      </c>
      <c r="AV321" s="9">
        <v>1.25869787544709</v>
      </c>
      <c r="AW321" s="9">
        <v>1.212678377258786</v>
      </c>
    </row>
    <row r="322" ht="15.0" customHeight="1">
      <c r="A322" s="5" t="s">
        <v>700</v>
      </c>
      <c r="B322" s="5" t="s">
        <v>701</v>
      </c>
      <c r="C322" s="5" t="s">
        <v>76</v>
      </c>
      <c r="D322" s="5" t="s">
        <v>83</v>
      </c>
      <c r="E322" s="5">
        <v>4.5</v>
      </c>
      <c r="F322" s="6">
        <v>0.09375</v>
      </c>
      <c r="G322" s="5">
        <v>88.0</v>
      </c>
      <c r="H322" s="5">
        <v>583.0</v>
      </c>
      <c r="I322" s="5" t="b">
        <v>0</v>
      </c>
      <c r="J322" s="5" t="b">
        <v>0</v>
      </c>
      <c r="K322" s="7">
        <v>22.9675</v>
      </c>
      <c r="L322" s="8">
        <v>0.07373061556058601</v>
      </c>
      <c r="M322" s="9">
        <f t="shared" si="1"/>
        <v>1.112610033</v>
      </c>
      <c r="N322" s="7">
        <f t="shared" si="2"/>
        <v>37.82874111</v>
      </c>
      <c r="O322" s="9">
        <f t="shared" si="3"/>
        <v>8.406386914</v>
      </c>
      <c r="P322" s="9">
        <v>1.088502268195197</v>
      </c>
      <c r="Q322" s="9">
        <v>1.082099751968203</v>
      </c>
      <c r="R322" s="9">
        <v>1.160151990116813</v>
      </c>
      <c r="S322" s="9">
        <v>1.113724077650282</v>
      </c>
      <c r="T322" s="9">
        <v>1.104797802137322</v>
      </c>
      <c r="U322" s="9">
        <v>1.156835278738824</v>
      </c>
      <c r="V322" s="9">
        <v>1.098312202821391</v>
      </c>
      <c r="W322" s="9">
        <v>1.070030728975729</v>
      </c>
      <c r="X322" s="9">
        <v>1.145053945745376</v>
      </c>
      <c r="Y322" s="9">
        <v>1.104075119690989</v>
      </c>
      <c r="Z322" s="9">
        <v>1.121671174867158</v>
      </c>
      <c r="AA322" s="9">
        <v>1.093046891761102</v>
      </c>
      <c r="AB322" s="9">
        <v>1.08510212378044</v>
      </c>
      <c r="AC322" s="9">
        <v>1.11132818467507</v>
      </c>
      <c r="AD322" s="9">
        <v>1.15056791016953</v>
      </c>
      <c r="AE322" s="9">
        <v>1.168608157326784</v>
      </c>
      <c r="AF322" s="9">
        <v>1.082397741416783</v>
      </c>
      <c r="AG322" s="9">
        <v>1.075947601496419</v>
      </c>
      <c r="AH322" s="9">
        <v>1.134565138632798</v>
      </c>
      <c r="AI322" s="9">
        <v>1.06370454709857</v>
      </c>
      <c r="AJ322" s="9">
        <v>1.112986328755944</v>
      </c>
      <c r="AK322" s="9">
        <v>1.115044059398423</v>
      </c>
      <c r="AL322" s="9">
        <v>1.155078379955167</v>
      </c>
      <c r="AM322" s="9">
        <v>1.106192585047829</v>
      </c>
      <c r="AN322" s="9">
        <v>1.067118984068401</v>
      </c>
      <c r="AO322" s="9">
        <v>1.151889440820328</v>
      </c>
      <c r="AP322" s="9">
        <v>1.117535949382937</v>
      </c>
      <c r="AQ322" s="9">
        <v>1.116982492636567</v>
      </c>
      <c r="AR322" s="9">
        <v>1.088624793967697</v>
      </c>
      <c r="AS322" s="9">
        <v>1.142235594419605</v>
      </c>
      <c r="AT322" s="9">
        <v>1.113382953406618</v>
      </c>
      <c r="AU322" s="9">
        <v>1.110335300876134</v>
      </c>
      <c r="AV322" s="9">
        <v>1.123889181840165</v>
      </c>
      <c r="AW322" s="9">
        <v>1.096922431020041</v>
      </c>
    </row>
    <row r="323" ht="15.0" customHeight="1">
      <c r="A323" s="5" t="s">
        <v>702</v>
      </c>
      <c r="B323" s="5" t="s">
        <v>703</v>
      </c>
      <c r="C323" s="5" t="s">
        <v>76</v>
      </c>
      <c r="D323" s="5" t="s">
        <v>83</v>
      </c>
      <c r="E323" s="5">
        <v>4.0</v>
      </c>
      <c r="F323" s="6">
        <v>0.03125</v>
      </c>
      <c r="G323" s="10">
        <v>90.0</v>
      </c>
      <c r="H323" s="5">
        <v>207.0</v>
      </c>
      <c r="I323" s="5" t="b">
        <v>0</v>
      </c>
      <c r="J323" s="5" t="b">
        <v>0</v>
      </c>
      <c r="K323" s="7">
        <v>18.545</v>
      </c>
      <c r="L323" s="8">
        <v>0.1056120927326943</v>
      </c>
      <c r="M323" s="9">
        <f t="shared" si="1"/>
        <v>1.355247169</v>
      </c>
      <c r="N323" s="7">
        <f t="shared" si="2"/>
        <v>46.07840373</v>
      </c>
      <c r="O323" s="9">
        <f t="shared" si="3"/>
        <v>11.51960093</v>
      </c>
      <c r="P323" s="9">
        <v>1.287571468398192</v>
      </c>
      <c r="Q323" s="9">
        <v>1.269598222991824</v>
      </c>
      <c r="R323" s="9">
        <v>1.488707707610813</v>
      </c>
      <c r="S323" s="9">
        <v>1.358374533139782</v>
      </c>
      <c r="T323" s="9">
        <v>1.333316550516812</v>
      </c>
      <c r="U323" s="9">
        <v>1.479396982666866</v>
      </c>
      <c r="V323" s="9">
        <v>1.315110072941459</v>
      </c>
      <c r="W323" s="9">
        <v>1.235717869648199</v>
      </c>
      <c r="X323" s="9">
        <v>1.446324237265203</v>
      </c>
      <c r="Y323" s="9">
        <v>1.331287824856726</v>
      </c>
      <c r="Z323" s="9">
        <v>1.380683750872802</v>
      </c>
      <c r="AA323" s="9">
        <v>1.300329207970208</v>
      </c>
      <c r="AB323" s="9">
        <v>1.278026528906144</v>
      </c>
      <c r="AC323" s="9">
        <v>1.351648744264883</v>
      </c>
      <c r="AD323" s="9">
        <v>1.46180312591518</v>
      </c>
      <c r="AE323" s="9">
        <v>1.51244599472695</v>
      </c>
      <c r="AF323" s="9">
        <v>1.27043474371242</v>
      </c>
      <c r="AG323" s="9">
        <v>1.252327808316403</v>
      </c>
      <c r="AH323" s="9">
        <v>1.416879891078366</v>
      </c>
      <c r="AI323" s="9">
        <v>1.217958911243044</v>
      </c>
      <c r="AJ323" s="9">
        <v>1.356303512707174</v>
      </c>
      <c r="AK323" s="9">
        <v>1.362080006901995</v>
      </c>
      <c r="AL323" s="9">
        <v>1.474464988451892</v>
      </c>
      <c r="AM323" s="9">
        <v>1.337232007291989</v>
      </c>
      <c r="AN323" s="9">
        <v>1.22754397302307</v>
      </c>
      <c r="AO323" s="9">
        <v>1.465512947781573</v>
      </c>
      <c r="AP323" s="9">
        <v>1.369075280108569</v>
      </c>
      <c r="AQ323" s="9">
        <v>1.367521607525535</v>
      </c>
      <c r="AR323" s="9">
        <v>1.287915424695947</v>
      </c>
      <c r="AS323" s="9">
        <v>1.438412516587965</v>
      </c>
      <c r="AT323" s="9">
        <v>1.357416923736219</v>
      </c>
      <c r="AU323" s="9">
        <v>1.348861505069292</v>
      </c>
      <c r="AV323" s="9">
        <v>1.386910175332426</v>
      </c>
      <c r="AW323" s="9">
        <v>1.311208683431626</v>
      </c>
    </row>
    <row r="324" ht="15.0" customHeight="1">
      <c r="A324" s="5" t="s">
        <v>704</v>
      </c>
      <c r="B324" s="5" t="s">
        <v>705</v>
      </c>
      <c r="C324" s="5" t="s">
        <v>76</v>
      </c>
      <c r="D324" s="5" t="s">
        <v>83</v>
      </c>
      <c r="E324" s="5">
        <v>5.0</v>
      </c>
      <c r="F324" s="6"/>
      <c r="G324" s="10"/>
      <c r="H324" s="5">
        <v>2313.0</v>
      </c>
      <c r="I324" s="5" t="b">
        <v>0</v>
      </c>
      <c r="J324" s="5" t="b">
        <v>0</v>
      </c>
      <c r="K324" s="7">
        <v>16.24</v>
      </c>
      <c r="L324" s="8">
        <v>0.07009420424029507</v>
      </c>
      <c r="M324" s="9">
        <f t="shared" si="1"/>
        <v>1.12291783</v>
      </c>
      <c r="N324" s="7">
        <f t="shared" si="2"/>
        <v>38.17920621</v>
      </c>
      <c r="O324" s="9">
        <f t="shared" si="3"/>
        <v>7.635841242</v>
      </c>
      <c r="P324" s="9">
        <v>1.112633258203745</v>
      </c>
      <c r="Q324" s="9">
        <v>1.109901891900303</v>
      </c>
      <c r="R324" s="9">
        <v>1.143199621359944</v>
      </c>
      <c r="S324" s="9">
        <v>1.123393090434552</v>
      </c>
      <c r="T324" s="9">
        <v>1.119585067574953</v>
      </c>
      <c r="U324" s="9">
        <v>1.141784684892015</v>
      </c>
      <c r="V324" s="9">
        <v>1.116818257339553</v>
      </c>
      <c r="W324" s="9">
        <v>1.104753147008702</v>
      </c>
      <c r="X324" s="9">
        <v>1.136758670930149</v>
      </c>
      <c r="Y324" s="9">
        <v>1.119276765274417</v>
      </c>
      <c r="Z324" s="9">
        <v>1.126783387745607</v>
      </c>
      <c r="AA324" s="9">
        <v>1.11457203215287</v>
      </c>
      <c r="AB324" s="9">
        <v>1.111182728513223</v>
      </c>
      <c r="AC324" s="9">
        <v>1.122370982702664</v>
      </c>
      <c r="AD324" s="9">
        <v>1.139110973695587</v>
      </c>
      <c r="AE324" s="9">
        <v>1.146807092134671</v>
      </c>
      <c r="AF324" s="9">
        <v>1.110029016660284</v>
      </c>
      <c r="AG324" s="9">
        <v>1.107277333695905</v>
      </c>
      <c r="AH324" s="9">
        <v>1.132284059184564</v>
      </c>
      <c r="AI324" s="9">
        <v>1.102054345569376</v>
      </c>
      <c r="AJ324" s="9">
        <v>1.123078360662857</v>
      </c>
      <c r="AK324" s="9">
        <v>1.12395620555058</v>
      </c>
      <c r="AL324" s="9">
        <v>1.141035177359959</v>
      </c>
      <c r="AM324" s="9">
        <v>1.12018009348466</v>
      </c>
      <c r="AN324" s="9">
        <v>1.103510972581941</v>
      </c>
      <c r="AO324" s="9">
        <v>1.139674749586281</v>
      </c>
      <c r="AP324" s="9">
        <v>1.125019266399515</v>
      </c>
      <c r="AQ324" s="9">
        <v>1.124783157180288</v>
      </c>
      <c r="AR324" s="9">
        <v>1.112685528710284</v>
      </c>
      <c r="AS324" s="9">
        <v>1.135556338976655</v>
      </c>
      <c r="AT324" s="9">
        <v>1.12324756401472</v>
      </c>
      <c r="AU324" s="9">
        <v>1.121947410273404</v>
      </c>
      <c r="AV324" s="9">
        <v>1.127729607839721</v>
      </c>
      <c r="AW324" s="9">
        <v>1.116225369210401</v>
      </c>
    </row>
    <row r="325" ht="15.0" customHeight="1">
      <c r="A325" s="5" t="s">
        <v>706</v>
      </c>
      <c r="B325" s="5" t="s">
        <v>707</v>
      </c>
      <c r="C325" s="5" t="s">
        <v>76</v>
      </c>
      <c r="D325" s="5" t="s">
        <v>52</v>
      </c>
      <c r="E325" s="5">
        <v>6.5</v>
      </c>
      <c r="F325" s="6">
        <v>1.0</v>
      </c>
      <c r="G325" s="5">
        <v>52.0</v>
      </c>
      <c r="H325" s="5">
        <v>2569.0</v>
      </c>
      <c r="I325" s="5" t="b">
        <v>1</v>
      </c>
      <c r="J325" s="5" t="b">
        <v>0</v>
      </c>
      <c r="K325" s="7">
        <v>52.0</v>
      </c>
      <c r="L325" s="8">
        <v>0.06611645759972237</v>
      </c>
      <c r="M325" s="9">
        <f t="shared" si="1"/>
        <v>2.191195502</v>
      </c>
      <c r="N325" s="7">
        <f t="shared" si="2"/>
        <v>74.50064706</v>
      </c>
      <c r="O325" s="9">
        <f t="shared" si="3"/>
        <v>11.46163801</v>
      </c>
      <c r="P325" s="9">
        <v>0.0</v>
      </c>
      <c r="Q325" s="9">
        <v>1.956579096486568</v>
      </c>
      <c r="R325" s="9">
        <v>2.67573163994283</v>
      </c>
      <c r="S325" s="9">
        <v>2.315932118145941</v>
      </c>
      <c r="T325" s="9">
        <v>2.187111644011157</v>
      </c>
      <c r="U325" s="9">
        <v>2.582068991245681</v>
      </c>
      <c r="V325" s="9">
        <v>2.135546754411026</v>
      </c>
      <c r="W325" s="9">
        <v>1.804808061007626</v>
      </c>
      <c r="X325" s="9">
        <v>2.563192029758309</v>
      </c>
      <c r="Y325" s="9">
        <v>2.24868247864383</v>
      </c>
      <c r="Z325" s="9">
        <v>2.288800119149962</v>
      </c>
      <c r="AA325" s="9">
        <v>2.070663591828136</v>
      </c>
      <c r="AB325" s="9">
        <v>1.958824301558235</v>
      </c>
      <c r="AC325" s="9">
        <v>2.246624059498227</v>
      </c>
      <c r="AD325" s="9">
        <v>2.673282027559612</v>
      </c>
      <c r="AE325" s="9">
        <v>2.725635377054825</v>
      </c>
      <c r="AF325" s="9">
        <v>1.978029303104628</v>
      </c>
      <c r="AG325" s="9">
        <v>1.902740650731286</v>
      </c>
      <c r="AH325" s="9">
        <v>2.484102041326335</v>
      </c>
      <c r="AI325" s="9">
        <v>1.809845483658847</v>
      </c>
      <c r="AJ325" s="9">
        <v>2.257603920116356</v>
      </c>
      <c r="AK325" s="9">
        <v>2.202856015420345</v>
      </c>
      <c r="AL325" s="9">
        <v>2.704086647832604</v>
      </c>
      <c r="AM325" s="9">
        <v>2.196302053827952</v>
      </c>
      <c r="AN325" s="9">
        <v>1.814332581300166</v>
      </c>
      <c r="AO325" s="9">
        <v>2.626395567123342</v>
      </c>
      <c r="AP325" s="9">
        <v>2.282680519858019</v>
      </c>
      <c r="AQ325" s="9">
        <v>2.262139289763562</v>
      </c>
      <c r="AR325" s="9">
        <v>1.978681259175852</v>
      </c>
      <c r="AS325" s="9">
        <v>2.615352530185219</v>
      </c>
      <c r="AT325" s="9">
        <v>2.283729128834171</v>
      </c>
      <c r="AU325" s="9">
        <v>2.292660743899266</v>
      </c>
      <c r="AV325" s="9">
        <v>2.319078811529317</v>
      </c>
      <c r="AW325" s="9">
        <v>2.056548224657798</v>
      </c>
    </row>
    <row r="326" ht="15.0" customHeight="1">
      <c r="A326" s="5" t="s">
        <v>708</v>
      </c>
      <c r="B326" s="5" t="s">
        <v>709</v>
      </c>
      <c r="C326" s="5" t="s">
        <v>281</v>
      </c>
      <c r="D326" s="5" t="s">
        <v>52</v>
      </c>
      <c r="E326" s="5">
        <v>5.0</v>
      </c>
      <c r="F326" s="6"/>
      <c r="G326" s="10"/>
      <c r="H326" s="5">
        <v>363.0</v>
      </c>
      <c r="I326" s="5" t="b">
        <v>0</v>
      </c>
      <c r="J326" s="5" t="b">
        <v>0</v>
      </c>
      <c r="K326" s="7">
        <v>22.95</v>
      </c>
      <c r="L326" s="8">
        <v>0.05648271553283302</v>
      </c>
      <c r="M326" s="9">
        <f t="shared" si="1"/>
        <v>1.599429465</v>
      </c>
      <c r="N326" s="7">
        <f t="shared" si="2"/>
        <v>54.3806018</v>
      </c>
      <c r="O326" s="9">
        <f t="shared" si="3"/>
        <v>10.87612036</v>
      </c>
      <c r="P326" s="9">
        <v>1.663432954302034</v>
      </c>
      <c r="Q326" s="9">
        <v>1.652362742619037</v>
      </c>
      <c r="R326" s="9">
        <v>0.0</v>
      </c>
      <c r="S326" s="9">
        <v>1.669446399714736</v>
      </c>
      <c r="T326" s="9">
        <v>1.769067616186657</v>
      </c>
      <c r="U326" s="9">
        <v>2.879012818101684</v>
      </c>
      <c r="V326" s="9">
        <v>1.803184000110921</v>
      </c>
      <c r="W326" s="9">
        <v>1.456346577158425</v>
      </c>
      <c r="X326" s="9">
        <v>1.535776650514346</v>
      </c>
      <c r="Y326" s="9">
        <v>1.796588157885019</v>
      </c>
      <c r="Z326" s="9">
        <v>1.394622043703459</v>
      </c>
      <c r="AA326" s="9">
        <v>1.844422901009988</v>
      </c>
      <c r="AB326" s="9">
        <v>1.363047673840075</v>
      </c>
      <c r="AC326" s="9">
        <v>1.469844318870599</v>
      </c>
      <c r="AD326" s="9">
        <v>1.50949715332449</v>
      </c>
      <c r="AE326" s="9">
        <v>1.755001048248393</v>
      </c>
      <c r="AF326" s="9">
        <v>1.619286394357109</v>
      </c>
      <c r="AG326" s="9">
        <v>1.609016131875497</v>
      </c>
      <c r="AH326" s="9">
        <v>1.595784685733002</v>
      </c>
      <c r="AI326" s="9">
        <v>1.487426186347527</v>
      </c>
      <c r="AJ326" s="9">
        <v>1.52884021243311</v>
      </c>
      <c r="AK326" s="9">
        <v>1.716717323130117</v>
      </c>
      <c r="AL326" s="9">
        <v>1.500261368298586</v>
      </c>
      <c r="AM326" s="9">
        <v>1.628961236023871</v>
      </c>
      <c r="AN326" s="9">
        <v>1.631723573299748</v>
      </c>
      <c r="AO326" s="9">
        <v>1.486814652545016</v>
      </c>
      <c r="AP326" s="9">
        <v>1.564539729456097</v>
      </c>
      <c r="AQ326" s="9">
        <v>1.6109957103417</v>
      </c>
      <c r="AR326" s="9">
        <v>1.568146682796576</v>
      </c>
      <c r="AS326" s="9">
        <v>1.575108131637385</v>
      </c>
      <c r="AT326" s="9">
        <v>1.380089342551799</v>
      </c>
      <c r="AU326" s="9">
        <v>1.827868986846243</v>
      </c>
      <c r="AV326" s="9">
        <v>1.600740230943005</v>
      </c>
      <c r="AW326" s="9">
        <v>1.886628161038672</v>
      </c>
    </row>
    <row r="327" ht="15.0" customHeight="1">
      <c r="A327" s="5" t="s">
        <v>710</v>
      </c>
      <c r="B327" s="5" t="s">
        <v>711</v>
      </c>
      <c r="C327" s="5" t="s">
        <v>76</v>
      </c>
      <c r="D327" s="5" t="s">
        <v>52</v>
      </c>
      <c r="E327" s="5">
        <v>6.0</v>
      </c>
      <c r="F327" s="6">
        <v>0.2941176471</v>
      </c>
      <c r="G327" s="10">
        <v>66.0</v>
      </c>
      <c r="H327" s="5">
        <v>523.0</v>
      </c>
      <c r="I327" s="5" t="b">
        <v>0</v>
      </c>
      <c r="J327" s="5" t="b">
        <v>0</v>
      </c>
      <c r="K327" s="7">
        <v>35.611764707655</v>
      </c>
      <c r="L327" s="8">
        <v>0.07041026566089223</v>
      </c>
      <c r="M327" s="9">
        <f t="shared" si="1"/>
        <v>1.809713293</v>
      </c>
      <c r="N327" s="7">
        <f t="shared" si="2"/>
        <v>61.53025195</v>
      </c>
      <c r="O327" s="9">
        <f t="shared" si="3"/>
        <v>10.25504199</v>
      </c>
      <c r="P327" s="9">
        <v>0.0</v>
      </c>
      <c r="Q327" s="9">
        <v>1.665395683953118</v>
      </c>
      <c r="R327" s="9">
        <v>2.162971665964009</v>
      </c>
      <c r="S327" s="9">
        <v>1.866997909333668</v>
      </c>
      <c r="T327" s="9">
        <v>1.810093707616809</v>
      </c>
      <c r="U327" s="9">
        <v>2.141827929921391</v>
      </c>
      <c r="V327" s="9">
        <v>1.768748596636019</v>
      </c>
      <c r="W327" s="9">
        <v>1.588456750364073</v>
      </c>
      <c r="X327" s="9">
        <v>2.066722994141708</v>
      </c>
      <c r="Y327" s="9">
        <v>1.805486672169196</v>
      </c>
      <c r="Z327" s="9">
        <v>1.917659937683125</v>
      </c>
      <c r="AA327" s="9">
        <v>1.735182713279444</v>
      </c>
      <c r="AB327" s="9">
        <v>1.68453553360088</v>
      </c>
      <c r="AC327" s="9">
        <v>1.851724307599608</v>
      </c>
      <c r="AD327" s="9">
        <v>2.101874020277534</v>
      </c>
      <c r="AE327" s="9">
        <v>2.216878969628235</v>
      </c>
      <c r="AF327" s="9">
        <v>1.667295339824916</v>
      </c>
      <c r="AG327" s="9">
        <v>1.626176279294298</v>
      </c>
      <c r="AH327" s="9">
        <v>1.999857794335044</v>
      </c>
      <c r="AI327" s="9">
        <v>1.548127911184423</v>
      </c>
      <c r="AJ327" s="9">
        <v>1.862294826638222</v>
      </c>
      <c r="AK327" s="9">
        <v>1.875412673985481</v>
      </c>
      <c r="AL327" s="9">
        <v>2.130627858554992</v>
      </c>
      <c r="AM327" s="9">
        <v>1.818985322935596</v>
      </c>
      <c r="AN327" s="9">
        <v>1.569894639065349</v>
      </c>
      <c r="AO327" s="9">
        <v>2.110298659044157</v>
      </c>
      <c r="AP327" s="9">
        <v>1.891298247999987</v>
      </c>
      <c r="AQ327" s="9">
        <v>1.887770011134428</v>
      </c>
      <c r="AR327" s="9">
        <v>1.706992238485978</v>
      </c>
      <c r="AS327" s="9">
        <v>2.048756258506242</v>
      </c>
      <c r="AT327" s="9">
        <v>1.864823273031688</v>
      </c>
      <c r="AU327" s="9">
        <v>1.845394762887032</v>
      </c>
      <c r="AV327" s="9">
        <v>1.931799532189047</v>
      </c>
      <c r="AW327" s="9">
        <v>1.75988892668637</v>
      </c>
    </row>
    <row r="328" ht="15.0" customHeight="1">
      <c r="A328" s="5" t="s">
        <v>712</v>
      </c>
      <c r="B328" s="5" t="s">
        <v>713</v>
      </c>
      <c r="C328" s="5" t="s">
        <v>95</v>
      </c>
      <c r="D328" s="5" t="s">
        <v>103</v>
      </c>
      <c r="E328" s="5">
        <v>4.5</v>
      </c>
      <c r="F328" s="6"/>
      <c r="G328" s="10"/>
      <c r="H328" s="5">
        <v>3307.0</v>
      </c>
      <c r="I328" s="5" t="b">
        <v>1</v>
      </c>
      <c r="J328" s="5" t="b">
        <v>0</v>
      </c>
      <c r="K328" s="7">
        <v>90.0</v>
      </c>
      <c r="L328" s="8">
        <v>0.08263831996011832</v>
      </c>
      <c r="M328" s="9">
        <f t="shared" si="1"/>
        <v>3.959528874</v>
      </c>
      <c r="N328" s="7">
        <f t="shared" si="2"/>
        <v>134.6239817</v>
      </c>
      <c r="O328" s="9">
        <f t="shared" si="3"/>
        <v>29.91644038</v>
      </c>
      <c r="P328" s="9">
        <v>3.878371694061518</v>
      </c>
      <c r="Q328" s="9">
        <v>3.863517485442321</v>
      </c>
      <c r="R328" s="9">
        <v>3.997080431091662</v>
      </c>
      <c r="S328" s="9">
        <v>3.935303599446964</v>
      </c>
      <c r="T328" s="9">
        <v>4.14432723896263</v>
      </c>
      <c r="U328" s="9">
        <v>3.736807919427116</v>
      </c>
      <c r="V328" s="9">
        <v>3.9466767440545</v>
      </c>
      <c r="W328" s="9">
        <v>3.94618933203347</v>
      </c>
      <c r="X328" s="9">
        <v>4.266574960241861</v>
      </c>
      <c r="Y328" s="9">
        <v>3.960648195288563</v>
      </c>
      <c r="Z328" s="9">
        <v>3.799617589392549</v>
      </c>
      <c r="AA328" s="9">
        <v>4.039051089613475</v>
      </c>
      <c r="AB328" s="9">
        <v>3.935162949614184</v>
      </c>
      <c r="AC328" s="9">
        <v>4.044112295695532</v>
      </c>
      <c r="AD328" s="9">
        <v>3.923066854345644</v>
      </c>
      <c r="AE328" s="9">
        <v>3.787109296833054</v>
      </c>
      <c r="AF328" s="9">
        <v>3.960406898936696</v>
      </c>
      <c r="AG328" s="9">
        <v>4.119443981084365</v>
      </c>
      <c r="AH328" s="9">
        <v>3.811916035353486</v>
      </c>
      <c r="AI328" s="9">
        <v>3.928711641556606</v>
      </c>
      <c r="AJ328" s="9">
        <v>4.020046442246588</v>
      </c>
      <c r="AK328" s="9">
        <v>4.045958528288617</v>
      </c>
      <c r="AL328" s="9">
        <v>3.79595666739071</v>
      </c>
      <c r="AM328" s="9">
        <v>3.826046785818975</v>
      </c>
      <c r="AN328" s="9">
        <v>4.264149135144558</v>
      </c>
      <c r="AO328" s="9">
        <v>3.803712513070461</v>
      </c>
      <c r="AP328" s="9">
        <v>3.846763289688077</v>
      </c>
      <c r="AQ328" s="9">
        <v>4.257520818135097</v>
      </c>
      <c r="AR328" s="9">
        <v>4.134106502885508</v>
      </c>
      <c r="AS328" s="9">
        <v>3.766342155124936</v>
      </c>
      <c r="AT328" s="9">
        <v>3.910881227978527</v>
      </c>
      <c r="AU328" s="9">
        <v>3.953705949422253</v>
      </c>
      <c r="AV328" s="9">
        <v>3.821294144194746</v>
      </c>
      <c r="AW328" s="9">
        <v>4.153401324250131</v>
      </c>
    </row>
    <row r="329" ht="15.0" customHeight="1">
      <c r="A329" s="5" t="s">
        <v>714</v>
      </c>
      <c r="B329" s="5" t="s">
        <v>715</v>
      </c>
      <c r="C329" s="5" t="s">
        <v>95</v>
      </c>
      <c r="D329" s="5" t="s">
        <v>83</v>
      </c>
      <c r="E329" s="5">
        <v>4.5</v>
      </c>
      <c r="F329" s="6">
        <v>0.1538461538</v>
      </c>
      <c r="G329" s="10">
        <v>78.0</v>
      </c>
      <c r="H329" s="5">
        <v>486.0</v>
      </c>
      <c r="I329" s="5" t="b">
        <v>0</v>
      </c>
      <c r="J329" s="5" t="b">
        <v>0</v>
      </c>
      <c r="K329" s="7">
        <v>25.741538458688</v>
      </c>
      <c r="L329" s="8">
        <v>0.08509346658548785</v>
      </c>
      <c r="M329" s="9">
        <f t="shared" si="1"/>
        <v>1.220804119</v>
      </c>
      <c r="N329" s="7">
        <f t="shared" si="2"/>
        <v>41.50734005</v>
      </c>
      <c r="O329" s="9">
        <f t="shared" si="3"/>
        <v>9.223853345</v>
      </c>
      <c r="P329" s="9">
        <v>1.199814728387432</v>
      </c>
      <c r="Q329" s="9">
        <v>1.224019189587917</v>
      </c>
      <c r="R329" s="9">
        <v>1.222191400838409</v>
      </c>
      <c r="S329" s="9">
        <v>1.214279518962207</v>
      </c>
      <c r="T329" s="9">
        <v>1.273653450548635</v>
      </c>
      <c r="U329" s="9">
        <v>1.174489021536999</v>
      </c>
      <c r="V329" s="9">
        <v>1.235077612909507</v>
      </c>
      <c r="W329" s="9">
        <v>1.233751870926012</v>
      </c>
      <c r="X329" s="9">
        <v>1.268070731794626</v>
      </c>
      <c r="Y329" s="9">
        <v>1.22175497710756</v>
      </c>
      <c r="Z329" s="9">
        <v>1.191072747078505</v>
      </c>
      <c r="AA329" s="9">
        <v>1.211949577720769</v>
      </c>
      <c r="AB329" s="9">
        <v>1.212744777335598</v>
      </c>
      <c r="AC329" s="9">
        <v>1.218837933308276</v>
      </c>
      <c r="AD329" s="9">
        <v>1.231311299275802</v>
      </c>
      <c r="AE329" s="9">
        <v>1.167528042454714</v>
      </c>
      <c r="AF329" s="9">
        <v>1.219930447480289</v>
      </c>
      <c r="AG329" s="9">
        <v>1.257040401304439</v>
      </c>
      <c r="AH329" s="9">
        <v>1.197778579870392</v>
      </c>
      <c r="AI329" s="9">
        <v>1.226152133832193</v>
      </c>
      <c r="AJ329" s="9">
        <v>1.270003925610454</v>
      </c>
      <c r="AK329" s="9">
        <v>1.222566755004747</v>
      </c>
      <c r="AL329" s="9">
        <v>1.194948897648222</v>
      </c>
      <c r="AM329" s="9">
        <v>1.204079156479746</v>
      </c>
      <c r="AN329" s="9">
        <v>1.263107661424731</v>
      </c>
      <c r="AO329" s="9">
        <v>1.180999619342885</v>
      </c>
      <c r="AP329" s="9">
        <v>1.18809699496934</v>
      </c>
      <c r="AQ329" s="9">
        <v>1.253939244080987</v>
      </c>
      <c r="AR329" s="9">
        <v>1.282958147158361</v>
      </c>
      <c r="AS329" s="9">
        <v>1.171285099204946</v>
      </c>
      <c r="AT329" s="9">
        <v>1.194814077095165</v>
      </c>
      <c r="AU329" s="9">
        <v>1.226761126888231</v>
      </c>
      <c r="AV329" s="9">
        <v>1.187769103935129</v>
      </c>
      <c r="AW329" s="9">
        <v>1.264561800334335</v>
      </c>
    </row>
    <row r="330" ht="15.0" customHeight="1">
      <c r="A330" s="5" t="s">
        <v>716</v>
      </c>
      <c r="B330" s="5" t="s">
        <v>717</v>
      </c>
      <c r="C330" s="5" t="s">
        <v>95</v>
      </c>
      <c r="D330" s="5" t="s">
        <v>83</v>
      </c>
      <c r="E330" s="5">
        <v>4.5</v>
      </c>
      <c r="F330" s="6"/>
      <c r="G330" s="10"/>
      <c r="H330" s="5">
        <v>2265.0</v>
      </c>
      <c r="I330" s="5" t="b">
        <v>0</v>
      </c>
      <c r="J330" s="5" t="b">
        <v>0</v>
      </c>
      <c r="K330" s="7">
        <v>16.24</v>
      </c>
      <c r="L330" s="8">
        <v>0.09713721053240647</v>
      </c>
      <c r="M330" s="9">
        <f t="shared" si="1"/>
        <v>1.180105065</v>
      </c>
      <c r="N330" s="7">
        <f t="shared" si="2"/>
        <v>40.12357223</v>
      </c>
      <c r="O330" s="9">
        <f t="shared" si="3"/>
        <v>8.916349383</v>
      </c>
      <c r="P330" s="9">
        <v>1.166048250075318</v>
      </c>
      <c r="Q330" s="9">
        <v>1.182258231876499</v>
      </c>
      <c r="R330" s="9">
        <v>1.181034142560049</v>
      </c>
      <c r="S330" s="9">
        <v>1.175735472196598</v>
      </c>
      <c r="T330" s="9">
        <v>1.215498817577791</v>
      </c>
      <c r="U330" s="9">
        <v>1.149087358289826</v>
      </c>
      <c r="V330" s="9">
        <v>1.1896641740831</v>
      </c>
      <c r="W330" s="9">
        <v>1.1887763107571</v>
      </c>
      <c r="X330" s="9">
        <v>1.211760012212366</v>
      </c>
      <c r="Y330" s="9">
        <v>1.18074186500526</v>
      </c>
      <c r="Z330" s="9">
        <v>1.160193653406125</v>
      </c>
      <c r="AA330" s="9">
        <v>1.174175086083943</v>
      </c>
      <c r="AB330" s="9">
        <v>1.174707639615208</v>
      </c>
      <c r="AC330" s="9">
        <v>1.178788290145321</v>
      </c>
      <c r="AD330" s="9">
        <v>1.187141834298125</v>
      </c>
      <c r="AE330" s="9">
        <v>1.144425517511483</v>
      </c>
      <c r="AF330" s="9">
        <v>1.179519958357193</v>
      </c>
      <c r="AG330" s="9">
        <v>1.204372884069915</v>
      </c>
      <c r="AH330" s="9">
        <v>1.164684620034875</v>
      </c>
      <c r="AI330" s="9">
        <v>1.183686687031781</v>
      </c>
      <c r="AJ330" s="9">
        <v>1.213054692408432</v>
      </c>
      <c r="AK330" s="9">
        <v>1.181285521186284</v>
      </c>
      <c r="AL330" s="9">
        <v>1.162789552140384</v>
      </c>
      <c r="AM330" s="9">
        <v>1.168904182343187</v>
      </c>
      <c r="AN330" s="9">
        <v>1.208436191875792</v>
      </c>
      <c r="AO330" s="9">
        <v>1.153447573998578</v>
      </c>
      <c r="AP330" s="9">
        <v>1.158200760974649</v>
      </c>
      <c r="AQ330" s="9">
        <v>1.202296006516708</v>
      </c>
      <c r="AR330" s="9">
        <v>1.221730270592169</v>
      </c>
      <c r="AS330" s="9">
        <v>1.146941657864405</v>
      </c>
      <c r="AT330" s="9">
        <v>1.162699261400451</v>
      </c>
      <c r="AU330" s="9">
        <v>1.184094536075544</v>
      </c>
      <c r="AV330" s="9">
        <v>1.15798116890634</v>
      </c>
      <c r="AW330" s="9">
        <v>1.209410043971313</v>
      </c>
    </row>
    <row r="331" ht="15.0" customHeight="1">
      <c r="A331" s="5" t="s">
        <v>718</v>
      </c>
      <c r="B331" s="5" t="s">
        <v>719</v>
      </c>
      <c r="C331" s="5" t="s">
        <v>95</v>
      </c>
      <c r="D331" s="5" t="s">
        <v>83</v>
      </c>
      <c r="E331" s="5">
        <v>5.0</v>
      </c>
      <c r="F331" s="6"/>
      <c r="G331" s="5"/>
      <c r="H331" s="5">
        <v>155.0</v>
      </c>
      <c r="I331" s="5" t="b">
        <v>1</v>
      </c>
      <c r="J331" s="5" t="b">
        <v>0</v>
      </c>
      <c r="K331" s="7">
        <v>80.76</v>
      </c>
      <c r="L331" s="8">
        <v>0.1038342406192515</v>
      </c>
      <c r="M331" s="9">
        <f t="shared" si="1"/>
        <v>4.275275537</v>
      </c>
      <c r="N331" s="7">
        <f t="shared" si="2"/>
        <v>145.3593682</v>
      </c>
      <c r="O331" s="9">
        <f t="shared" si="3"/>
        <v>29.07187365</v>
      </c>
      <c r="P331" s="9">
        <v>3.907344618869979</v>
      </c>
      <c r="Q331" s="9">
        <v>4.060885122626471</v>
      </c>
      <c r="R331" s="9">
        <v>4.409895893321237</v>
      </c>
      <c r="S331" s="9">
        <v>4.183201383281054</v>
      </c>
      <c r="T331" s="9">
        <v>5.182240724395984</v>
      </c>
      <c r="U331" s="9">
        <v>3.257096547904886</v>
      </c>
      <c r="V331" s="9">
        <v>4.383479730536396</v>
      </c>
      <c r="W331" s="9">
        <v>4.37135525422534</v>
      </c>
      <c r="X331" s="9">
        <v>5.389978922875514</v>
      </c>
      <c r="Y331" s="9">
        <v>4.311945005880044</v>
      </c>
      <c r="Z331" s="9">
        <v>3.602872772153578</v>
      </c>
      <c r="AA331" s="9">
        <v>4.430012185226841</v>
      </c>
      <c r="AB331" s="9">
        <v>4.170307864438441</v>
      </c>
      <c r="AC331" s="9">
        <v>4.498887864482682</v>
      </c>
      <c r="AD331" s="9">
        <v>4.288598564055933</v>
      </c>
      <c r="AE331" s="9">
        <v>3.374164926423676</v>
      </c>
      <c r="AF331" s="9">
        <v>4.296403974564643</v>
      </c>
      <c r="AG331" s="9">
        <v>4.989445659925866</v>
      </c>
      <c r="AH331" s="9">
        <v>3.694870697113122</v>
      </c>
      <c r="AI331" s="9">
        <v>4.262047228772539</v>
      </c>
      <c r="AJ331" s="9">
        <v>4.859770717994261</v>
      </c>
      <c r="AK331" s="9">
        <v>4.534004985365924</v>
      </c>
      <c r="AL331" s="9">
        <v>3.622663252789836</v>
      </c>
      <c r="AM331" s="9">
        <v>3.788639861279894</v>
      </c>
      <c r="AN331" s="9">
        <v>5.343872089063066</v>
      </c>
      <c r="AO331" s="9">
        <v>3.534349088102447</v>
      </c>
      <c r="AP331" s="9">
        <v>3.720915692934248</v>
      </c>
      <c r="AQ331" s="9">
        <v>5.254460290868907</v>
      </c>
      <c r="AR331" s="9">
        <v>5.236503515820664</v>
      </c>
      <c r="AS331" s="9">
        <v>3.337399214824336</v>
      </c>
      <c r="AT331" s="9">
        <v>3.95789698871494</v>
      </c>
      <c r="AU331" s="9">
        <v>4.334417887993344</v>
      </c>
      <c r="AV331" s="9">
        <v>3.64254097023243</v>
      </c>
      <c r="AW331" s="9">
        <v>5.126898751919172</v>
      </c>
    </row>
    <row r="332" ht="15.0" customHeight="1">
      <c r="A332" s="5" t="s">
        <v>720</v>
      </c>
      <c r="B332" s="5" t="s">
        <v>721</v>
      </c>
      <c r="C332" s="5" t="s">
        <v>95</v>
      </c>
      <c r="D332" s="5" t="s">
        <v>83</v>
      </c>
      <c r="E332" s="5">
        <v>4.0</v>
      </c>
      <c r="F332" s="6">
        <v>0.2307692308</v>
      </c>
      <c r="G332" s="10">
        <v>80.0</v>
      </c>
      <c r="H332" s="5">
        <v>329.0</v>
      </c>
      <c r="I332" s="5" t="b">
        <v>0</v>
      </c>
      <c r="J332" s="5" t="b">
        <v>0</v>
      </c>
      <c r="K332" s="7">
        <v>30.953846155808</v>
      </c>
      <c r="L332" s="8">
        <v>0.07464158471991501</v>
      </c>
      <c r="M332" s="9">
        <f t="shared" si="1"/>
        <v>1.177738713</v>
      </c>
      <c r="N332" s="7">
        <f t="shared" si="2"/>
        <v>40.04311626</v>
      </c>
      <c r="O332" s="9">
        <f t="shared" si="3"/>
        <v>10.01077906</v>
      </c>
      <c r="P332" s="9">
        <v>1.161793820180256</v>
      </c>
      <c r="Q332" s="9">
        <v>1.180181088003304</v>
      </c>
      <c r="R332" s="9">
        <v>1.178792581934824</v>
      </c>
      <c r="S332" s="9">
        <v>1.172782206829299</v>
      </c>
      <c r="T332" s="9">
        <v>1.217886469747788</v>
      </c>
      <c r="U332" s="9">
        <v>1.142554781938099</v>
      </c>
      <c r="V332" s="9">
        <v>1.188581778670637</v>
      </c>
      <c r="W332" s="9">
        <v>1.187574659664232</v>
      </c>
      <c r="X332" s="9">
        <v>1.213645476979535</v>
      </c>
      <c r="Y332" s="9">
        <v>1.178461046357272</v>
      </c>
      <c r="Z332" s="9">
        <v>1.155152848075985</v>
      </c>
      <c r="AA332" s="9">
        <v>1.171012233382527</v>
      </c>
      <c r="AB332" s="9">
        <v>1.171616318231578</v>
      </c>
      <c r="AC332" s="9">
        <v>1.176245071990202</v>
      </c>
      <c r="AD332" s="9">
        <v>1.18572064423286</v>
      </c>
      <c r="AE332" s="9">
        <v>1.137266773845853</v>
      </c>
      <c r="AF332" s="9">
        <v>1.177075016127975</v>
      </c>
      <c r="AG332" s="9">
        <v>1.205266127436495</v>
      </c>
      <c r="AH332" s="9">
        <v>1.160247030611167</v>
      </c>
      <c r="AI332" s="9">
        <v>1.181801409841757</v>
      </c>
      <c r="AJ332" s="9">
        <v>1.215114055525905</v>
      </c>
      <c r="AK332" s="9">
        <v>1.179077725137467</v>
      </c>
      <c r="AL332" s="9">
        <v>1.158097421725342</v>
      </c>
      <c r="AM332" s="9">
        <v>1.165033354446109</v>
      </c>
      <c r="AN332" s="9">
        <v>1.209875209037604</v>
      </c>
      <c r="AO332" s="9">
        <v>1.147500651402137</v>
      </c>
      <c r="AP332" s="9">
        <v>1.152892275095119</v>
      </c>
      <c r="AQ332" s="9">
        <v>1.202910288653029</v>
      </c>
      <c r="AR332" s="9">
        <v>1.224954916641033</v>
      </c>
      <c r="AS332" s="9">
        <v>1.140120876158674</v>
      </c>
      <c r="AT332" s="9">
        <v>1.157995003348971</v>
      </c>
      <c r="AU332" s="9">
        <v>1.182264040194526</v>
      </c>
      <c r="AV332" s="9">
        <v>1.152643187944909</v>
      </c>
      <c r="AW332" s="9">
        <v>1.210979866619581</v>
      </c>
    </row>
    <row r="333" ht="15.0" customHeight="1">
      <c r="A333" s="5" t="s">
        <v>722</v>
      </c>
      <c r="B333" s="5" t="s">
        <v>723</v>
      </c>
      <c r="C333" s="5" t="s">
        <v>95</v>
      </c>
      <c r="D333" s="5" t="s">
        <v>83</v>
      </c>
      <c r="E333" s="5">
        <v>4.5</v>
      </c>
      <c r="F333" s="6">
        <v>0.6666666667</v>
      </c>
      <c r="G333" s="5">
        <v>74.0</v>
      </c>
      <c r="H333" s="5">
        <v>994.0</v>
      </c>
      <c r="I333" s="5" t="b">
        <v>1</v>
      </c>
      <c r="J333" s="5" t="b">
        <v>0</v>
      </c>
      <c r="K333" s="7">
        <v>54.746666668592</v>
      </c>
      <c r="L333" s="8">
        <v>0.08451323615393357</v>
      </c>
      <c r="M333" s="9">
        <f t="shared" si="1"/>
        <v>2.190404798</v>
      </c>
      <c r="N333" s="7">
        <f t="shared" si="2"/>
        <v>74.47376312</v>
      </c>
      <c r="O333" s="9">
        <f t="shared" si="3"/>
        <v>16.54972514</v>
      </c>
      <c r="P333" s="9">
        <v>1.97023946075709</v>
      </c>
      <c r="Q333" s="9">
        <v>1.958119304532387</v>
      </c>
      <c r="R333" s="9">
        <v>2.313327995003399</v>
      </c>
      <c r="S333" s="9">
        <v>2.143873619293946</v>
      </c>
      <c r="T333" s="9">
        <v>2.725650466737918</v>
      </c>
      <c r="U333" s="9">
        <v>1.501895745878029</v>
      </c>
      <c r="V333" s="9">
        <v>2.200608935879433</v>
      </c>
      <c r="W333" s="9">
        <v>2.197623149184041</v>
      </c>
      <c r="X333" s="9">
        <v>2.967341999847989</v>
      </c>
      <c r="Y333" s="9">
        <v>2.22003011712392</v>
      </c>
      <c r="Z333" s="9">
        <v>1.729958341450698</v>
      </c>
      <c r="AA333" s="9">
        <v>2.402052288557987</v>
      </c>
      <c r="AB333" s="9">
        <v>2.141539484664255</v>
      </c>
      <c r="AC333" s="9">
        <v>2.423341815035792</v>
      </c>
      <c r="AD333" s="9">
        <v>2.132747818626344</v>
      </c>
      <c r="AE333" s="9">
        <v>1.663784585866739</v>
      </c>
      <c r="AF333" s="9">
        <v>2.217046007588801</v>
      </c>
      <c r="AG333" s="9">
        <v>2.648088761382776</v>
      </c>
      <c r="AH333" s="9">
        <v>1.775194352601087</v>
      </c>
      <c r="AI333" s="9">
        <v>2.141398850160739</v>
      </c>
      <c r="AJ333" s="9">
        <v>2.433397759348904</v>
      </c>
      <c r="AK333" s="9">
        <v>2.432737409144591</v>
      </c>
      <c r="AL333" s="9">
        <v>1.723303572920619</v>
      </c>
      <c r="AM333" s="9">
        <v>1.824899265573221</v>
      </c>
      <c r="AN333" s="9">
        <v>2.955459478506786</v>
      </c>
      <c r="AO333" s="9">
        <v>1.730458314712564</v>
      </c>
      <c r="AP333" s="9">
        <v>1.865971388228977</v>
      </c>
      <c r="AQ333" s="9">
        <v>2.929345369480997</v>
      </c>
      <c r="AR333" s="9">
        <v>2.71631320721547</v>
      </c>
      <c r="AS333" s="9">
        <v>1.602365439485168</v>
      </c>
      <c r="AT333" s="9">
        <v>2.053577304408107</v>
      </c>
      <c r="AU333" s="9">
        <v>2.208402302816512</v>
      </c>
      <c r="AV333" s="9">
        <v>1.791176252030204</v>
      </c>
      <c r="AW333" s="9">
        <v>2.732492953523388</v>
      </c>
    </row>
    <row r="334" ht="15.0" customHeight="1">
      <c r="A334" s="5" t="s">
        <v>724</v>
      </c>
      <c r="B334" s="5" t="s">
        <v>725</v>
      </c>
      <c r="C334" s="5" t="s">
        <v>95</v>
      </c>
      <c r="D334" s="5" t="s">
        <v>52</v>
      </c>
      <c r="E334" s="5">
        <v>5.5</v>
      </c>
      <c r="F334" s="6">
        <v>0.2727272727</v>
      </c>
      <c r="G334" s="10">
        <v>80.0</v>
      </c>
      <c r="H334" s="5">
        <v>880.0</v>
      </c>
      <c r="I334" s="5" t="b">
        <v>0</v>
      </c>
      <c r="J334" s="5" t="b">
        <v>0</v>
      </c>
      <c r="K334" s="7">
        <v>38.509090907535</v>
      </c>
      <c r="L334" s="8">
        <v>0.04868205315104507</v>
      </c>
      <c r="M334" s="9">
        <f t="shared" si="1"/>
        <v>1.178723769</v>
      </c>
      <c r="N334" s="7">
        <f t="shared" si="2"/>
        <v>40.07660814</v>
      </c>
      <c r="O334" s="9">
        <f t="shared" si="3"/>
        <v>7.286656025</v>
      </c>
      <c r="P334" s="9">
        <v>1.123348360919353</v>
      </c>
      <c r="Q334" s="9">
        <v>1.18720595095845</v>
      </c>
      <c r="R334" s="9">
        <v>1.182383774431677</v>
      </c>
      <c r="S334" s="9">
        <v>1.161510196412178</v>
      </c>
      <c r="T334" s="9">
        <v>1.318153889112085</v>
      </c>
      <c r="U334" s="9">
        <v>1.056532636656384</v>
      </c>
      <c r="V334" s="9">
        <v>1.216380914081973</v>
      </c>
      <c r="W334" s="9">
        <v>1.212883265967503</v>
      </c>
      <c r="X334" s="9">
        <v>1.303425242085233</v>
      </c>
      <c r="Y334" s="9">
        <v>1.18123237645355</v>
      </c>
      <c r="Z334" s="9">
        <v>1.100284767231767</v>
      </c>
      <c r="AA334" s="9">
        <v>1.155363212540958</v>
      </c>
      <c r="AB334" s="9">
        <v>1.157461153518964</v>
      </c>
      <c r="AC334" s="9">
        <v>1.173536465128862</v>
      </c>
      <c r="AD334" s="9">
        <v>1.206444410642064</v>
      </c>
      <c r="AE334" s="9">
        <v>1.038167784622479</v>
      </c>
      <c r="AF334" s="9">
        <v>1.176418798328949</v>
      </c>
      <c r="AG334" s="9">
        <v>1.27432439507179</v>
      </c>
      <c r="AH334" s="9">
        <v>1.117976477770091</v>
      </c>
      <c r="AI334" s="9">
        <v>1.192833206116045</v>
      </c>
      <c r="AJ334" s="9">
        <v>1.308525504269742</v>
      </c>
      <c r="AK334" s="9">
        <v>1.183374055201613</v>
      </c>
      <c r="AL334" s="9">
        <v>1.110511048740807</v>
      </c>
      <c r="AM334" s="9">
        <v>1.134599018333892</v>
      </c>
      <c r="AN334" s="9">
        <v>1.290331386766957</v>
      </c>
      <c r="AO334" s="9">
        <v>1.073709267119424</v>
      </c>
      <c r="AP334" s="9">
        <v>1.092433968295526</v>
      </c>
      <c r="AQ334" s="9">
        <v>1.266142745210563</v>
      </c>
      <c r="AR334" s="9">
        <v>1.342702070400673</v>
      </c>
      <c r="AS334" s="9">
        <v>1.048079866024445</v>
      </c>
      <c r="AT334" s="9">
        <v>1.110155357468251</v>
      </c>
      <c r="AU334" s="9">
        <v>1.194439886330368</v>
      </c>
      <c r="AV334" s="9">
        <v>1.091568907467826</v>
      </c>
      <c r="AW334" s="9">
        <v>1.294167778974998</v>
      </c>
    </row>
    <row r="335" ht="15.0" customHeight="1">
      <c r="A335" s="5" t="s">
        <v>726</v>
      </c>
      <c r="B335" s="5" t="s">
        <v>727</v>
      </c>
      <c r="C335" s="5" t="s">
        <v>95</v>
      </c>
      <c r="D335" s="5" t="s">
        <v>52</v>
      </c>
      <c r="E335" s="5">
        <v>5.5</v>
      </c>
      <c r="F335" s="6">
        <v>0.6</v>
      </c>
      <c r="G335" s="5">
        <v>77.0</v>
      </c>
      <c r="H335" s="5">
        <v>1657.0</v>
      </c>
      <c r="I335" s="5" t="b">
        <v>1</v>
      </c>
      <c r="J335" s="5" t="b">
        <v>0</v>
      </c>
      <c r="K335" s="7">
        <v>55.38</v>
      </c>
      <c r="L335" s="8">
        <v>0.07395921287543164</v>
      </c>
      <c r="M335" s="9">
        <f t="shared" si="1"/>
        <v>1.882799235</v>
      </c>
      <c r="N335" s="7">
        <f t="shared" si="2"/>
        <v>64.01517398</v>
      </c>
      <c r="O335" s="9">
        <f t="shared" si="3"/>
        <v>11.63912254</v>
      </c>
      <c r="P335" s="9">
        <v>1.782310650749693</v>
      </c>
      <c r="Q335" s="9">
        <v>1.83233646142867</v>
      </c>
      <c r="R335" s="9">
        <v>1.916270187553414</v>
      </c>
      <c r="S335" s="9">
        <v>1.856985759352956</v>
      </c>
      <c r="T335" s="9">
        <v>2.131089088015248</v>
      </c>
      <c r="U335" s="9">
        <v>1.610881400739079</v>
      </c>
      <c r="V335" s="9">
        <v>1.916595359278587</v>
      </c>
      <c r="W335" s="9">
        <v>1.912951783395304</v>
      </c>
      <c r="X335" s="9">
        <v>2.178693518960334</v>
      </c>
      <c r="Y335" s="9">
        <v>1.892216598727934</v>
      </c>
      <c r="Z335" s="9">
        <v>1.703673295216091</v>
      </c>
      <c r="AA335" s="9">
        <v>1.915797944253416</v>
      </c>
      <c r="AB335" s="9">
        <v>1.853045641324219</v>
      </c>
      <c r="AC335" s="9">
        <v>1.936159320735175</v>
      </c>
      <c r="AD335" s="9">
        <v>1.891544058924427</v>
      </c>
      <c r="AE335" s="9">
        <v>1.635709861073382</v>
      </c>
      <c r="AF335" s="9">
        <v>1.887480709970913</v>
      </c>
      <c r="AG335" s="9">
        <v>2.075492021935594</v>
      </c>
      <c r="AH335" s="9">
        <v>1.729563168478232</v>
      </c>
      <c r="AI335" s="9">
        <v>1.882383234431764</v>
      </c>
      <c r="AJ335" s="9">
        <v>2.050741668050205</v>
      </c>
      <c r="AK335" s="9">
        <v>1.946654344585781</v>
      </c>
      <c r="AL335" s="9">
        <v>1.710517540642081</v>
      </c>
      <c r="AM335" s="9">
        <v>1.755671572493904</v>
      </c>
      <c r="AN335" s="9">
        <v>2.164878861049579</v>
      </c>
      <c r="AO335" s="9">
        <v>1.681729184738397</v>
      </c>
      <c r="AP335" s="9">
        <v>1.730826468633695</v>
      </c>
      <c r="AQ335" s="9">
        <v>2.138327989954145</v>
      </c>
      <c r="AR335" s="9">
        <v>2.149161922673269</v>
      </c>
      <c r="AS335" s="9">
        <v>1.628735341019993</v>
      </c>
      <c r="AT335" s="9">
        <v>1.791987091938019</v>
      </c>
      <c r="AU335" s="9">
        <v>1.900305247883726</v>
      </c>
      <c r="AV335" s="9">
        <v>1.7115913199929</v>
      </c>
      <c r="AW335" s="9">
        <v>2.112865364948288</v>
      </c>
    </row>
    <row r="336" ht="15.0" customHeight="1">
      <c r="A336" s="5" t="s">
        <v>728</v>
      </c>
      <c r="B336" s="5" t="s">
        <v>87</v>
      </c>
      <c r="C336" s="5" t="s">
        <v>95</v>
      </c>
      <c r="D336" s="5" t="s">
        <v>52</v>
      </c>
      <c r="E336" s="5">
        <v>5.0</v>
      </c>
      <c r="F336" s="6">
        <v>0.4242424242</v>
      </c>
      <c r="G336" s="10">
        <v>78.0</v>
      </c>
      <c r="H336" s="5">
        <v>1430.0</v>
      </c>
      <c r="I336" s="5" t="b">
        <v>0</v>
      </c>
      <c r="J336" s="5" t="b">
        <v>0</v>
      </c>
      <c r="K336" s="7">
        <v>46.30454545221</v>
      </c>
      <c r="L336" s="8">
        <v>0.07236557588937256</v>
      </c>
      <c r="M336" s="9">
        <f t="shared" si="1"/>
        <v>1.351576514</v>
      </c>
      <c r="N336" s="7">
        <f t="shared" si="2"/>
        <v>45.95360148</v>
      </c>
      <c r="O336" s="9">
        <f t="shared" si="3"/>
        <v>9.190720295</v>
      </c>
      <c r="P336" s="9">
        <v>0.0</v>
      </c>
      <c r="Q336" s="9">
        <v>1.401215016469709</v>
      </c>
      <c r="R336" s="9">
        <v>1.39506223363078</v>
      </c>
      <c r="S336" s="9">
        <v>1.368428909049571</v>
      </c>
      <c r="T336" s="9">
        <v>1.56829604765793</v>
      </c>
      <c r="U336" s="9">
        <v>1.234484387410425</v>
      </c>
      <c r="V336" s="9">
        <v>1.438440367187621</v>
      </c>
      <c r="W336" s="9">
        <v>1.433977596242625</v>
      </c>
      <c r="X336" s="9">
        <v>1.549503254369605</v>
      </c>
      <c r="Y336" s="9">
        <v>1.393593124882631</v>
      </c>
      <c r="Z336" s="9">
        <v>1.290309253355546</v>
      </c>
      <c r="AA336" s="9">
        <v>1.36058575841748</v>
      </c>
      <c r="AB336" s="9">
        <v>1.363262594318217</v>
      </c>
      <c r="AC336" s="9">
        <v>1.383773643811052</v>
      </c>
      <c r="AD336" s="9">
        <v>1.425762036665169</v>
      </c>
      <c r="AE336" s="9">
        <v>1.211052033616172</v>
      </c>
      <c r="AF336" s="9">
        <v>1.387451313044251</v>
      </c>
      <c r="AG336" s="9">
        <v>1.512372470975732</v>
      </c>
      <c r="AH336" s="9">
        <v>1.312882722490728</v>
      </c>
      <c r="AI336" s="9">
        <v>1.408395027149885</v>
      </c>
      <c r="AJ336" s="9">
        <v>1.556010856376428</v>
      </c>
      <c r="AK336" s="9">
        <v>1.396325767326228</v>
      </c>
      <c r="AL336" s="9">
        <v>1.303357321800479</v>
      </c>
      <c r="AM336" s="9">
        <v>1.334092000449037</v>
      </c>
      <c r="AN336" s="9">
        <v>1.532796348711875</v>
      </c>
      <c r="AO336" s="9">
        <v>1.25640064795312</v>
      </c>
      <c r="AP336" s="9">
        <v>1.280292145790404</v>
      </c>
      <c r="AQ336" s="9">
        <v>1.501933219202016</v>
      </c>
      <c r="AR336" s="9">
        <v>1.599617926423829</v>
      </c>
      <c r="AS336" s="9">
        <v>1.223699203210542</v>
      </c>
      <c r="AT336" s="9">
        <v>1.302903482928014</v>
      </c>
      <c r="AU336" s="9">
        <v>1.410445046346704</v>
      </c>
      <c r="AV336" s="9">
        <v>1.279188384576821</v>
      </c>
      <c r="AW336" s="9">
        <v>1.537691335033919</v>
      </c>
    </row>
    <row r="337" ht="15.0" customHeight="1">
      <c r="A337" s="5" t="s">
        <v>729</v>
      </c>
      <c r="B337" s="5" t="s">
        <v>730</v>
      </c>
      <c r="C337" s="5" t="s">
        <v>95</v>
      </c>
      <c r="D337" s="5" t="s">
        <v>52</v>
      </c>
      <c r="E337" s="5">
        <v>5.5</v>
      </c>
      <c r="F337" s="6">
        <v>0.0</v>
      </c>
      <c r="G337" s="10"/>
      <c r="H337" s="5">
        <v>273.0</v>
      </c>
      <c r="I337" s="5" t="b">
        <v>0</v>
      </c>
      <c r="J337" s="5" t="b">
        <v>0</v>
      </c>
      <c r="K337" s="7">
        <v>0.0</v>
      </c>
      <c r="L337" s="8">
        <v>0.07888018793711915</v>
      </c>
      <c r="M337" s="9">
        <f t="shared" si="1"/>
        <v>0</v>
      </c>
      <c r="N337" s="7">
        <f t="shared" si="2"/>
        <v>0</v>
      </c>
      <c r="O337" s="9">
        <f t="shared" si="3"/>
        <v>0</v>
      </c>
      <c r="P337" s="9">
        <v>0.0</v>
      </c>
      <c r="Q337" s="9">
        <v>0.0</v>
      </c>
      <c r="R337" s="9">
        <v>0.0</v>
      </c>
      <c r="S337" s="9">
        <v>0.0</v>
      </c>
      <c r="T337" s="9">
        <v>0.0</v>
      </c>
      <c r="U337" s="9">
        <v>0.0</v>
      </c>
      <c r="V337" s="9">
        <v>0.0</v>
      </c>
      <c r="W337" s="9">
        <v>0.0</v>
      </c>
      <c r="X337" s="9">
        <v>0.0</v>
      </c>
      <c r="Y337" s="9">
        <v>0.0</v>
      </c>
      <c r="Z337" s="9">
        <v>0.0</v>
      </c>
      <c r="AA337" s="9">
        <v>0.0</v>
      </c>
      <c r="AB337" s="9">
        <v>0.0</v>
      </c>
      <c r="AC337" s="9">
        <v>0.0</v>
      </c>
      <c r="AD337" s="9">
        <v>0.0</v>
      </c>
      <c r="AE337" s="9">
        <v>0.0</v>
      </c>
      <c r="AF337" s="9">
        <v>0.0</v>
      </c>
      <c r="AG337" s="9">
        <v>0.0</v>
      </c>
      <c r="AH337" s="9">
        <v>0.0</v>
      </c>
      <c r="AI337" s="9">
        <v>0.0</v>
      </c>
      <c r="AJ337" s="9">
        <v>0.0</v>
      </c>
      <c r="AK337" s="9">
        <v>0.0</v>
      </c>
      <c r="AL337" s="9">
        <v>0.0</v>
      </c>
      <c r="AM337" s="9">
        <v>0.0</v>
      </c>
      <c r="AN337" s="9">
        <v>0.0</v>
      </c>
      <c r="AO337" s="9">
        <v>0.0</v>
      </c>
      <c r="AP337" s="9">
        <v>0.0</v>
      </c>
      <c r="AQ337" s="9">
        <v>0.0</v>
      </c>
      <c r="AR337" s="9">
        <v>0.0</v>
      </c>
      <c r="AS337" s="9">
        <v>0.0</v>
      </c>
      <c r="AT337" s="9">
        <v>0.0</v>
      </c>
      <c r="AU337" s="9">
        <v>0.0</v>
      </c>
      <c r="AV337" s="9">
        <v>0.0</v>
      </c>
      <c r="AW337" s="9">
        <v>0.0</v>
      </c>
    </row>
    <row r="338" ht="15.0" customHeight="1">
      <c r="A338" s="5" t="s">
        <v>731</v>
      </c>
      <c r="B338" s="5" t="s">
        <v>732</v>
      </c>
      <c r="C338" s="5" t="s">
        <v>95</v>
      </c>
      <c r="D338" s="5" t="s">
        <v>56</v>
      </c>
      <c r="E338" s="5">
        <v>5.5</v>
      </c>
      <c r="F338" s="6"/>
      <c r="G338" s="10"/>
      <c r="H338" s="5">
        <v>503.0</v>
      </c>
      <c r="I338" s="5" t="b">
        <v>1</v>
      </c>
      <c r="J338" s="5" t="b">
        <v>0</v>
      </c>
      <c r="K338" s="7">
        <v>73.02</v>
      </c>
      <c r="L338" s="8">
        <v>0.08568527762596177</v>
      </c>
      <c r="M338" s="9">
        <f t="shared" si="1"/>
        <v>3.392873963</v>
      </c>
      <c r="N338" s="7">
        <f t="shared" si="2"/>
        <v>115.3577147</v>
      </c>
      <c r="O338" s="9">
        <f t="shared" si="3"/>
        <v>20.97412995</v>
      </c>
      <c r="P338" s="9">
        <v>3.195027354907387</v>
      </c>
      <c r="Q338" s="9">
        <v>3.423179309875829</v>
      </c>
      <c r="R338" s="9">
        <v>3.405950519983937</v>
      </c>
      <c r="S338" s="9">
        <v>3.331372891397902</v>
      </c>
      <c r="T338" s="9">
        <v>3.891033296700995</v>
      </c>
      <c r="U338" s="9">
        <v>2.956306505844722</v>
      </c>
      <c r="V338" s="9">
        <v>3.527416329605019</v>
      </c>
      <c r="W338" s="9">
        <v>3.514919847125499</v>
      </c>
      <c r="X338" s="9">
        <v>3.838410427420164</v>
      </c>
      <c r="Y338" s="9">
        <v>3.401836777208872</v>
      </c>
      <c r="Z338" s="9">
        <v>3.112625184935125</v>
      </c>
      <c r="AA338" s="9">
        <v>3.309410797518073</v>
      </c>
      <c r="AB338" s="9">
        <v>3.316906372206176</v>
      </c>
      <c r="AC338" s="9">
        <v>3.374340637550043</v>
      </c>
      <c r="AD338" s="9">
        <v>3.491914947796249</v>
      </c>
      <c r="AE338" s="9">
        <v>2.890692114639599</v>
      </c>
      <c r="AF338" s="9">
        <v>3.384638707897945</v>
      </c>
      <c r="AG338" s="9">
        <v>3.734438211536512</v>
      </c>
      <c r="AH338" s="9">
        <v>3.175834559789127</v>
      </c>
      <c r="AI338" s="9">
        <v>3.443284504333143</v>
      </c>
      <c r="AJ338" s="9">
        <v>3.856632768531609</v>
      </c>
      <c r="AK338" s="9">
        <v>3.409488619268456</v>
      </c>
      <c r="AL338" s="9">
        <v>3.149161892896022</v>
      </c>
      <c r="AM338" s="9">
        <v>3.235223978084611</v>
      </c>
      <c r="AN338" s="9">
        <v>3.791628381822928</v>
      </c>
      <c r="AO338" s="9">
        <v>3.017675590044637</v>
      </c>
      <c r="AP338" s="9">
        <v>3.084575659040538</v>
      </c>
      <c r="AQ338" s="9">
        <v>3.705206613388769</v>
      </c>
      <c r="AR338" s="9">
        <v>3.978739637458326</v>
      </c>
      <c r="AS338" s="9">
        <v>2.926106240795634</v>
      </c>
      <c r="AT338" s="9">
        <v>3.147891070443293</v>
      </c>
      <c r="AU338" s="9">
        <v>3.449024890584528</v>
      </c>
      <c r="AV338" s="9">
        <v>3.081484948619342</v>
      </c>
      <c r="AW338" s="9">
        <v>3.805335137460813</v>
      </c>
    </row>
    <row r="339" ht="15.0" customHeight="1">
      <c r="A339" s="5" t="s">
        <v>733</v>
      </c>
      <c r="B339" s="5" t="s">
        <v>734</v>
      </c>
      <c r="C339" s="5" t="s">
        <v>82</v>
      </c>
      <c r="D339" s="5" t="s">
        <v>83</v>
      </c>
      <c r="E339" s="5">
        <v>4.0</v>
      </c>
      <c r="F339" s="6">
        <v>0.0</v>
      </c>
      <c r="G339" s="5"/>
      <c r="H339" s="5">
        <v>151.0</v>
      </c>
      <c r="I339" s="5" t="b">
        <v>0</v>
      </c>
      <c r="J339" s="5" t="b">
        <v>0</v>
      </c>
      <c r="K339" s="7">
        <v>0.0</v>
      </c>
      <c r="L339" s="8">
        <v>0.04609745714177209</v>
      </c>
      <c r="M339" s="9">
        <f t="shared" si="1"/>
        <v>0</v>
      </c>
      <c r="N339" s="7">
        <f t="shared" si="2"/>
        <v>0</v>
      </c>
      <c r="O339" s="9">
        <f t="shared" si="3"/>
        <v>0</v>
      </c>
      <c r="P339" s="9">
        <v>0.0</v>
      </c>
      <c r="Q339" s="9">
        <v>0.0</v>
      </c>
      <c r="R339" s="9">
        <v>0.0</v>
      </c>
      <c r="S339" s="9">
        <v>0.0</v>
      </c>
      <c r="T339" s="9">
        <v>0.0</v>
      </c>
      <c r="U339" s="9">
        <v>0.0</v>
      </c>
      <c r="V339" s="9">
        <v>0.0</v>
      </c>
      <c r="W339" s="9">
        <v>0.0</v>
      </c>
      <c r="X339" s="9">
        <v>0.0</v>
      </c>
      <c r="Y339" s="9">
        <v>0.0</v>
      </c>
      <c r="Z339" s="9">
        <v>0.0</v>
      </c>
      <c r="AA339" s="9">
        <v>0.0</v>
      </c>
      <c r="AB339" s="9">
        <v>0.0</v>
      </c>
      <c r="AC339" s="9">
        <v>0.0</v>
      </c>
      <c r="AD339" s="9">
        <v>0.0</v>
      </c>
      <c r="AE339" s="9">
        <v>0.0</v>
      </c>
      <c r="AF339" s="9">
        <v>0.0</v>
      </c>
      <c r="AG339" s="9">
        <v>0.0</v>
      </c>
      <c r="AH339" s="9">
        <v>0.0</v>
      </c>
      <c r="AI339" s="9">
        <v>0.0</v>
      </c>
      <c r="AJ339" s="9">
        <v>0.0</v>
      </c>
      <c r="AK339" s="9">
        <v>0.0</v>
      </c>
      <c r="AL339" s="9">
        <v>0.0</v>
      </c>
      <c r="AM339" s="9">
        <v>0.0</v>
      </c>
      <c r="AN339" s="9">
        <v>0.0</v>
      </c>
      <c r="AO339" s="9">
        <v>0.0</v>
      </c>
      <c r="AP339" s="9">
        <v>0.0</v>
      </c>
      <c r="AQ339" s="9">
        <v>0.0</v>
      </c>
      <c r="AR339" s="9">
        <v>0.0</v>
      </c>
      <c r="AS339" s="9">
        <v>0.0</v>
      </c>
      <c r="AT339" s="9">
        <v>0.0</v>
      </c>
      <c r="AU339" s="9">
        <v>0.0</v>
      </c>
      <c r="AV339" s="9">
        <v>0.0</v>
      </c>
      <c r="AW339" s="9">
        <v>0.0</v>
      </c>
    </row>
    <row r="340" ht="15.0" customHeight="1">
      <c r="A340" s="5" t="s">
        <v>735</v>
      </c>
      <c r="B340" s="5" t="s">
        <v>736</v>
      </c>
      <c r="C340" s="5" t="s">
        <v>82</v>
      </c>
      <c r="D340" s="5" t="s">
        <v>83</v>
      </c>
      <c r="E340" s="5">
        <v>4.5</v>
      </c>
      <c r="F340" s="6">
        <v>0.625</v>
      </c>
      <c r="G340" s="10">
        <v>64.0</v>
      </c>
      <c r="H340" s="5">
        <v>592.0</v>
      </c>
      <c r="I340" s="5" t="b">
        <v>1</v>
      </c>
      <c r="J340" s="5" t="b">
        <v>0</v>
      </c>
      <c r="K340" s="7">
        <v>46.09</v>
      </c>
      <c r="L340" s="8">
        <v>0.1023306575180955</v>
      </c>
      <c r="M340" s="9">
        <f t="shared" si="1"/>
        <v>2.13379128</v>
      </c>
      <c r="N340" s="7">
        <f t="shared" si="2"/>
        <v>72.54890353</v>
      </c>
      <c r="O340" s="9">
        <f t="shared" si="3"/>
        <v>16.12197856</v>
      </c>
      <c r="P340" s="9">
        <v>1.694182199896262</v>
      </c>
      <c r="Q340" s="9">
        <v>2.502669016731232</v>
      </c>
      <c r="R340" s="9">
        <v>0.0</v>
      </c>
      <c r="S340" s="9">
        <v>2.144047516865737</v>
      </c>
      <c r="T340" s="9">
        <v>4.495402069808913</v>
      </c>
      <c r="U340" s="9">
        <v>1.739140683858008</v>
      </c>
      <c r="V340" s="9">
        <v>1.691978100005286</v>
      </c>
      <c r="W340" s="9">
        <v>2.838246402394747</v>
      </c>
      <c r="X340" s="9">
        <v>1.90861447943537</v>
      </c>
      <c r="Y340" s="9">
        <v>2.128603087045754</v>
      </c>
      <c r="Z340" s="9">
        <v>2.230756877719386</v>
      </c>
      <c r="AA340" s="9">
        <v>2.140538193319138</v>
      </c>
      <c r="AB340" s="9">
        <v>2.642730840377539</v>
      </c>
      <c r="AC340" s="9">
        <v>2.071134026502393</v>
      </c>
      <c r="AD340" s="9">
        <v>2.074125481569941</v>
      </c>
      <c r="AE340" s="9">
        <v>1.504001414415015</v>
      </c>
      <c r="AF340" s="9">
        <v>2.88001012809056</v>
      </c>
      <c r="AG340" s="9">
        <v>2.310473958342568</v>
      </c>
      <c r="AH340" s="9">
        <v>2.068614040682603</v>
      </c>
      <c r="AI340" s="9">
        <v>1.747029907339993</v>
      </c>
      <c r="AJ340" s="9">
        <v>2.024029549432519</v>
      </c>
      <c r="AK340" s="9">
        <v>2.131902190707944</v>
      </c>
      <c r="AL340" s="9">
        <v>1.580800820975669</v>
      </c>
      <c r="AM340" s="9">
        <v>2.636596914901673</v>
      </c>
      <c r="AN340" s="9">
        <v>1.697418784032619</v>
      </c>
      <c r="AO340" s="9">
        <v>1.784708800162179</v>
      </c>
      <c r="AP340" s="9">
        <v>2.646575986738582</v>
      </c>
      <c r="AQ340" s="9">
        <v>2.333188157387043</v>
      </c>
      <c r="AR340" s="9">
        <v>1.9806590849975</v>
      </c>
      <c r="AS340" s="9">
        <v>2.135473439538797</v>
      </c>
      <c r="AT340" s="9">
        <v>2.068338077879921</v>
      </c>
      <c r="AU340" s="9">
        <v>2.343463162846634</v>
      </c>
      <c r="AV340" s="9">
        <v>1.811416575744427</v>
      </c>
      <c r="AW340" s="9">
        <v>2.562033562259968</v>
      </c>
    </row>
    <row r="341" ht="15.0" customHeight="1">
      <c r="A341" s="5" t="s">
        <v>737</v>
      </c>
      <c r="B341" s="5" t="s">
        <v>738</v>
      </c>
      <c r="C341" s="5" t="s">
        <v>82</v>
      </c>
      <c r="D341" s="5" t="s">
        <v>83</v>
      </c>
      <c r="E341" s="5">
        <v>4.5</v>
      </c>
      <c r="F341" s="6"/>
      <c r="G341" s="10"/>
      <c r="H341" s="5">
        <v>1906.0</v>
      </c>
      <c r="I341" s="5" t="b">
        <v>0</v>
      </c>
      <c r="J341" s="5" t="b">
        <v>0</v>
      </c>
      <c r="K341" s="7">
        <v>16.24</v>
      </c>
      <c r="L341" s="8">
        <v>0.05672170527588864</v>
      </c>
      <c r="M341" s="9">
        <f t="shared" si="1"/>
        <v>1.082687272</v>
      </c>
      <c r="N341" s="7">
        <f t="shared" si="2"/>
        <v>36.81136724</v>
      </c>
      <c r="O341" s="9">
        <f t="shared" si="3"/>
        <v>8.180303832</v>
      </c>
      <c r="P341" s="9">
        <v>1.073054679296815</v>
      </c>
      <c r="Q341" s="9">
        <v>1.092854198181062</v>
      </c>
      <c r="R341" s="9">
        <v>0.0</v>
      </c>
      <c r="S341" s="9">
        <v>1.083554092647006</v>
      </c>
      <c r="T341" s="9">
        <v>2.162065595009479</v>
      </c>
      <c r="U341" s="9">
        <v>1.074163010089661</v>
      </c>
      <c r="V341" s="9">
        <v>1.067591021730375</v>
      </c>
      <c r="W341" s="9">
        <v>1.096160036117386</v>
      </c>
      <c r="X341" s="9">
        <v>1.074960529359691</v>
      </c>
      <c r="Y341" s="9">
        <v>1.088253039664206</v>
      </c>
      <c r="Z341" s="9">
        <v>1.083725031226554</v>
      </c>
      <c r="AA341" s="9">
        <v>1.082839460328041</v>
      </c>
      <c r="AB341" s="9">
        <v>1.103881702498657</v>
      </c>
      <c r="AC341" s="9">
        <v>1.08062610292851</v>
      </c>
      <c r="AD341" s="9">
        <v>1.085276372329401</v>
      </c>
      <c r="AE341" s="9">
        <v>1.065040948802906</v>
      </c>
      <c r="AF341" s="9">
        <v>1.101695061520251</v>
      </c>
      <c r="AG341" s="9">
        <v>1.079713510834891</v>
      </c>
      <c r="AH341" s="9">
        <v>1.087297115818454</v>
      </c>
      <c r="AI341" s="9">
        <v>1.070242495513013</v>
      </c>
      <c r="AJ341" s="9">
        <v>1.077229790213731</v>
      </c>
      <c r="AK341" s="9">
        <v>1.088772306687253</v>
      </c>
      <c r="AL341" s="9">
        <v>1.063786035530074</v>
      </c>
      <c r="AM341" s="9">
        <v>1.107526168894865</v>
      </c>
      <c r="AN341" s="9">
        <v>1.071536467463534</v>
      </c>
      <c r="AO341" s="9">
        <v>1.076630821851037</v>
      </c>
      <c r="AP341" s="9">
        <v>1.100320682179363</v>
      </c>
      <c r="AQ341" s="9">
        <v>1.082411544045083</v>
      </c>
      <c r="AR341" s="9">
        <v>1.073001872741616</v>
      </c>
      <c r="AS341" s="9">
        <v>1.085514902914691</v>
      </c>
      <c r="AT341" s="9">
        <v>1.080024974861724</v>
      </c>
      <c r="AU341" s="9">
        <v>1.083872050060512</v>
      </c>
      <c r="AV341" s="9">
        <v>1.070370923972953</v>
      </c>
      <c r="AW341" s="9">
        <v>1.097374698321247</v>
      </c>
    </row>
    <row r="342" ht="15.0" customHeight="1">
      <c r="A342" s="5" t="s">
        <v>739</v>
      </c>
      <c r="B342" s="5" t="s">
        <v>740</v>
      </c>
      <c r="C342" s="5" t="s">
        <v>82</v>
      </c>
      <c r="D342" s="5" t="s">
        <v>52</v>
      </c>
      <c r="E342" s="5">
        <v>4.5</v>
      </c>
      <c r="F342" s="6"/>
      <c r="G342" s="5"/>
      <c r="H342" s="5">
        <v>2063.0</v>
      </c>
      <c r="I342" s="5" t="b">
        <v>0</v>
      </c>
      <c r="J342" s="5" t="b">
        <v>0</v>
      </c>
      <c r="K342" s="7">
        <v>22.95</v>
      </c>
      <c r="L342" s="8">
        <v>0.04940451765280707</v>
      </c>
      <c r="M342" s="9">
        <f t="shared" si="1"/>
        <v>1.26796674</v>
      </c>
      <c r="N342" s="7">
        <f t="shared" si="2"/>
        <v>43.11086917</v>
      </c>
      <c r="O342" s="9">
        <f t="shared" si="3"/>
        <v>9.580193148</v>
      </c>
      <c r="P342" s="9">
        <v>1.226029901851675</v>
      </c>
      <c r="Q342" s="9">
        <v>1.312229875124932</v>
      </c>
      <c r="R342" s="9">
        <v>0.0</v>
      </c>
      <c r="S342" s="9">
        <v>1.271740565603784</v>
      </c>
      <c r="T342" s="9">
        <v>2.521527509491003</v>
      </c>
      <c r="U342" s="9">
        <v>1.230855174893903</v>
      </c>
      <c r="V342" s="9">
        <v>1.202243104861572</v>
      </c>
      <c r="W342" s="9">
        <v>1.326622302709803</v>
      </c>
      <c r="X342" s="9">
        <v>1.234327286522645</v>
      </c>
      <c r="Y342" s="9">
        <v>1.292198088317498</v>
      </c>
      <c r="Z342" s="9">
        <v>1.272484770605658</v>
      </c>
      <c r="AA342" s="9">
        <v>1.268629313903421</v>
      </c>
      <c r="AB342" s="9">
        <v>1.360239656726428</v>
      </c>
      <c r="AC342" s="9">
        <v>1.258993153055316</v>
      </c>
      <c r="AD342" s="9">
        <v>1.279238750961696</v>
      </c>
      <c r="AE342" s="9">
        <v>1.191141005892511</v>
      </c>
      <c r="AF342" s="9">
        <v>1.350719809552424</v>
      </c>
      <c r="AG342" s="9">
        <v>1.25502005580284</v>
      </c>
      <c r="AH342" s="9">
        <v>1.288036340224686</v>
      </c>
      <c r="AI342" s="9">
        <v>1.213786666628616</v>
      </c>
      <c r="AJ342" s="9">
        <v>1.244206830874803</v>
      </c>
      <c r="AK342" s="9">
        <v>1.294458789891613</v>
      </c>
      <c r="AL342" s="9">
        <v>1.185677565532629</v>
      </c>
      <c r="AM342" s="9">
        <v>1.376106350648893</v>
      </c>
      <c r="AN342" s="9">
        <v>1.219420154401898</v>
      </c>
      <c r="AO342" s="9">
        <v>1.241599138376941</v>
      </c>
      <c r="AP342" s="9">
        <v>1.344736256964889</v>
      </c>
      <c r="AQ342" s="9">
        <v>1.26676632054637</v>
      </c>
      <c r="AR342" s="9">
        <v>1.225800001131692</v>
      </c>
      <c r="AS342" s="9">
        <v>1.280277227209376</v>
      </c>
      <c r="AT342" s="9">
        <v>1.256376057983779</v>
      </c>
      <c r="AU342" s="9">
        <v>1.273124837651325</v>
      </c>
      <c r="AV342" s="9">
        <v>1.214345797882213</v>
      </c>
      <c r="AW342" s="9">
        <v>1.331910504414147</v>
      </c>
    </row>
    <row r="343" ht="15.0" customHeight="1">
      <c r="A343" s="5" t="s">
        <v>741</v>
      </c>
      <c r="B343" s="5" t="s">
        <v>742</v>
      </c>
      <c r="C343" s="5" t="s">
        <v>82</v>
      </c>
      <c r="D343" s="5" t="s">
        <v>52</v>
      </c>
      <c r="E343" s="5">
        <v>5.0</v>
      </c>
      <c r="F343" s="6"/>
      <c r="G343" s="10"/>
      <c r="H343" s="5">
        <v>91.0</v>
      </c>
      <c r="I343" s="5" t="b">
        <v>0</v>
      </c>
      <c r="J343" s="5" t="b">
        <v>0</v>
      </c>
      <c r="K343" s="7">
        <v>22.95</v>
      </c>
      <c r="L343" s="8">
        <v>0.0348100925779779</v>
      </c>
      <c r="M343" s="9">
        <f t="shared" si="1"/>
        <v>1.26404131</v>
      </c>
      <c r="N343" s="7">
        <f t="shared" si="2"/>
        <v>42.97740455</v>
      </c>
      <c r="O343" s="9">
        <f t="shared" si="3"/>
        <v>8.59548091</v>
      </c>
      <c r="P343" s="9">
        <v>1.222110861490059</v>
      </c>
      <c r="Q343" s="9">
        <v>1.308297701393659</v>
      </c>
      <c r="R343" s="9">
        <v>0.0</v>
      </c>
      <c r="S343" s="9">
        <v>1.267814560796339</v>
      </c>
      <c r="T343" s="9">
        <v>2.513678844715077</v>
      </c>
      <c r="U343" s="9">
        <v>1.226935399356948</v>
      </c>
      <c r="V343" s="9">
        <v>1.198327688640265</v>
      </c>
      <c r="W343" s="9">
        <v>1.322687936157992</v>
      </c>
      <c r="X343" s="9">
        <v>1.23040698197711</v>
      </c>
      <c r="Y343" s="9">
        <v>1.288268966615721</v>
      </c>
      <c r="Z343" s="9">
        <v>1.268558652411642</v>
      </c>
      <c r="AA343" s="9">
        <v>1.264703783124182</v>
      </c>
      <c r="AB343" s="9">
        <v>1.356300168257284</v>
      </c>
      <c r="AC343" s="9">
        <v>1.25506909043503</v>
      </c>
      <c r="AD343" s="9">
        <v>1.275311603735799</v>
      </c>
      <c r="AE343" s="9">
        <v>1.187227281179499</v>
      </c>
      <c r="AF343" s="9">
        <v>1.346781771520761</v>
      </c>
      <c r="AG343" s="9">
        <v>1.251096598520965</v>
      </c>
      <c r="AH343" s="9">
        <v>1.284107852604035</v>
      </c>
      <c r="AI343" s="9">
        <v>1.209869491638042</v>
      </c>
      <c r="AJ343" s="9">
        <v>1.240285021088568</v>
      </c>
      <c r="AK343" s="9">
        <v>1.290529323750873</v>
      </c>
      <c r="AL343" s="9">
        <v>1.181764673225696</v>
      </c>
      <c r="AM343" s="9">
        <v>1.372164444740989</v>
      </c>
      <c r="AN343" s="9">
        <v>1.215502121096935</v>
      </c>
      <c r="AO343" s="9">
        <v>1.237677725896973</v>
      </c>
      <c r="AP343" s="9">
        <v>1.340799130583253</v>
      </c>
      <c r="AQ343" s="9">
        <v>1.262841073611539</v>
      </c>
      <c r="AR343" s="9">
        <v>1.221880995797594</v>
      </c>
      <c r="AS343" s="9">
        <v>1.27634992176194</v>
      </c>
      <c r="AT343" s="9">
        <v>1.252452394102328</v>
      </c>
      <c r="AU343" s="9">
        <v>1.269198621937126</v>
      </c>
      <c r="AV343" s="9">
        <v>1.210428537702779</v>
      </c>
      <c r="AW343" s="9">
        <v>1.3279753321555</v>
      </c>
    </row>
    <row r="344" ht="15.0" customHeight="1">
      <c r="A344" s="5" t="s">
        <v>743</v>
      </c>
      <c r="B344" s="5" t="s">
        <v>744</v>
      </c>
      <c r="C344" s="5" t="s">
        <v>82</v>
      </c>
      <c r="D344" s="5" t="s">
        <v>56</v>
      </c>
      <c r="E344" s="5">
        <v>4.5</v>
      </c>
      <c r="F344" s="6">
        <v>0.0</v>
      </c>
      <c r="G344" s="10"/>
      <c r="H344" s="5">
        <v>245.0</v>
      </c>
      <c r="I344" s="5" t="b">
        <v>0</v>
      </c>
      <c r="J344" s="5" t="b">
        <v>0</v>
      </c>
      <c r="K344" s="7">
        <v>0.0</v>
      </c>
      <c r="L344" s="8">
        <v>0.2142688969421128</v>
      </c>
      <c r="M344" s="9">
        <f t="shared" si="1"/>
        <v>0</v>
      </c>
      <c r="N344" s="7">
        <f t="shared" si="2"/>
        <v>0</v>
      </c>
      <c r="O344" s="9">
        <f t="shared" si="3"/>
        <v>0</v>
      </c>
      <c r="P344" s="9">
        <v>0.0</v>
      </c>
      <c r="Q344" s="9">
        <v>0.0</v>
      </c>
      <c r="R344" s="9">
        <v>0.0</v>
      </c>
      <c r="S344" s="9">
        <v>0.0</v>
      </c>
      <c r="T344" s="9">
        <v>0.0</v>
      </c>
      <c r="U344" s="9">
        <v>0.0</v>
      </c>
      <c r="V344" s="9">
        <v>0.0</v>
      </c>
      <c r="W344" s="9">
        <v>0.0</v>
      </c>
      <c r="X344" s="9">
        <v>0.0</v>
      </c>
      <c r="Y344" s="9">
        <v>0.0</v>
      </c>
      <c r="Z344" s="9">
        <v>0.0</v>
      </c>
      <c r="AA344" s="9">
        <v>0.0</v>
      </c>
      <c r="AB344" s="9">
        <v>0.0</v>
      </c>
      <c r="AC344" s="9">
        <v>0.0</v>
      </c>
      <c r="AD344" s="9">
        <v>0.0</v>
      </c>
      <c r="AE344" s="9">
        <v>0.0</v>
      </c>
      <c r="AF344" s="9">
        <v>0.0</v>
      </c>
      <c r="AG344" s="9">
        <v>0.0</v>
      </c>
      <c r="AH344" s="9">
        <v>0.0</v>
      </c>
      <c r="AI344" s="9">
        <v>0.0</v>
      </c>
      <c r="AJ344" s="9">
        <v>0.0</v>
      </c>
      <c r="AK344" s="9">
        <v>0.0</v>
      </c>
      <c r="AL344" s="9">
        <v>0.0</v>
      </c>
      <c r="AM344" s="9">
        <v>0.0</v>
      </c>
      <c r="AN344" s="9">
        <v>0.0</v>
      </c>
      <c r="AO344" s="9">
        <v>0.0</v>
      </c>
      <c r="AP344" s="9">
        <v>0.0</v>
      </c>
      <c r="AQ344" s="9">
        <v>0.0</v>
      </c>
      <c r="AR344" s="9">
        <v>0.0</v>
      </c>
      <c r="AS344" s="9">
        <v>0.0</v>
      </c>
      <c r="AT344" s="9">
        <v>0.0</v>
      </c>
      <c r="AU344" s="9">
        <v>0.0</v>
      </c>
      <c r="AV344" s="9">
        <v>0.0</v>
      </c>
      <c r="AW344" s="9">
        <v>0.0</v>
      </c>
    </row>
    <row r="345" ht="15.0" customHeight="1">
      <c r="A345" s="5" t="s">
        <v>745</v>
      </c>
      <c r="B345" s="5" t="s">
        <v>746</v>
      </c>
      <c r="C345" s="5" t="s">
        <v>136</v>
      </c>
      <c r="D345" s="5" t="s">
        <v>103</v>
      </c>
      <c r="E345" s="5">
        <v>4.5</v>
      </c>
      <c r="F345" s="6">
        <v>0.07407407407</v>
      </c>
      <c r="G345" s="5">
        <v>90.0</v>
      </c>
      <c r="H345" s="5">
        <v>194.0</v>
      </c>
      <c r="I345" s="5" t="b">
        <v>0</v>
      </c>
      <c r="J345" s="5" t="b">
        <v>0</v>
      </c>
      <c r="K345" s="7">
        <v>6.666666666299999</v>
      </c>
      <c r="L345" s="8">
        <v>0.1302056114975965</v>
      </c>
      <c r="M345" s="9">
        <f t="shared" si="1"/>
        <v>1.128767274</v>
      </c>
      <c r="N345" s="7">
        <f t="shared" si="2"/>
        <v>38.3780873</v>
      </c>
      <c r="O345" s="9">
        <f t="shared" si="3"/>
        <v>8.528463845</v>
      </c>
      <c r="P345" s="9">
        <v>1.128767273633413</v>
      </c>
      <c r="Q345" s="9">
        <v>1.128767273633413</v>
      </c>
      <c r="R345" s="9">
        <v>1.128767273633413</v>
      </c>
      <c r="S345" s="9">
        <v>1.128767273633413</v>
      </c>
      <c r="T345" s="9">
        <v>1.128767273633413</v>
      </c>
      <c r="U345" s="9">
        <v>1.128767273633413</v>
      </c>
      <c r="V345" s="9">
        <v>1.128767273633413</v>
      </c>
      <c r="W345" s="9">
        <v>1.128767273633413</v>
      </c>
      <c r="X345" s="9">
        <v>1.128767273633413</v>
      </c>
      <c r="Y345" s="9">
        <v>1.128767273633413</v>
      </c>
      <c r="Z345" s="9">
        <v>1.128767273633413</v>
      </c>
      <c r="AA345" s="9">
        <v>1.128767273633413</v>
      </c>
      <c r="AB345" s="9">
        <v>1.128767273633413</v>
      </c>
      <c r="AC345" s="9">
        <v>1.128767273633413</v>
      </c>
      <c r="AD345" s="9">
        <v>1.128767273633413</v>
      </c>
      <c r="AE345" s="9">
        <v>1.128767273633413</v>
      </c>
      <c r="AF345" s="9">
        <v>1.128767273633413</v>
      </c>
      <c r="AG345" s="9">
        <v>1.128767273633413</v>
      </c>
      <c r="AH345" s="9">
        <v>1.128767273633413</v>
      </c>
      <c r="AI345" s="9">
        <v>1.128767273633413</v>
      </c>
      <c r="AJ345" s="9">
        <v>1.128767273633413</v>
      </c>
      <c r="AK345" s="9">
        <v>1.128767273633413</v>
      </c>
      <c r="AL345" s="9">
        <v>1.128767273633413</v>
      </c>
      <c r="AM345" s="9">
        <v>1.128767273633413</v>
      </c>
      <c r="AN345" s="9">
        <v>1.128767273633413</v>
      </c>
      <c r="AO345" s="9">
        <v>1.128767273633413</v>
      </c>
      <c r="AP345" s="9">
        <v>1.128767273633413</v>
      </c>
      <c r="AQ345" s="9">
        <v>1.128767273633413</v>
      </c>
      <c r="AR345" s="9">
        <v>1.128767273633413</v>
      </c>
      <c r="AS345" s="9">
        <v>1.128767273633413</v>
      </c>
      <c r="AT345" s="9">
        <v>1.128767273633413</v>
      </c>
      <c r="AU345" s="9">
        <v>1.128767273633413</v>
      </c>
      <c r="AV345" s="9">
        <v>1.128767273633413</v>
      </c>
      <c r="AW345" s="9">
        <v>1.128767273633413</v>
      </c>
    </row>
    <row r="346" ht="15.0" customHeight="1">
      <c r="A346" s="5" t="s">
        <v>747</v>
      </c>
      <c r="B346" s="5" t="s">
        <v>748</v>
      </c>
      <c r="C346" s="5" t="s">
        <v>136</v>
      </c>
      <c r="D346" s="5" t="s">
        <v>103</v>
      </c>
      <c r="E346" s="5">
        <v>4.5</v>
      </c>
      <c r="F346" s="6"/>
      <c r="G346" s="10"/>
      <c r="H346" s="5">
        <v>3263.0</v>
      </c>
      <c r="I346" s="5" t="b">
        <v>0</v>
      </c>
      <c r="J346" s="5" t="b">
        <v>0</v>
      </c>
      <c r="K346" s="7">
        <v>0.0</v>
      </c>
      <c r="L346" s="8">
        <v>0.05735565304406266</v>
      </c>
      <c r="M346" s="9">
        <f t="shared" si="1"/>
        <v>0</v>
      </c>
      <c r="N346" s="7">
        <f t="shared" si="2"/>
        <v>0</v>
      </c>
      <c r="O346" s="9">
        <f t="shared" si="3"/>
        <v>0</v>
      </c>
      <c r="P346" s="9">
        <v>0.0</v>
      </c>
      <c r="Q346" s="9">
        <v>0.0</v>
      </c>
      <c r="R346" s="9">
        <v>0.0</v>
      </c>
      <c r="S346" s="9">
        <v>0.0</v>
      </c>
      <c r="T346" s="9">
        <v>0.0</v>
      </c>
      <c r="U346" s="9">
        <v>0.0</v>
      </c>
      <c r="V346" s="9">
        <v>0.0</v>
      </c>
      <c r="W346" s="9">
        <v>0.0</v>
      </c>
      <c r="X346" s="9">
        <v>0.0</v>
      </c>
      <c r="Y346" s="9">
        <v>0.0</v>
      </c>
      <c r="Z346" s="9">
        <v>0.0</v>
      </c>
      <c r="AA346" s="9">
        <v>0.0</v>
      </c>
      <c r="AB346" s="9">
        <v>0.0</v>
      </c>
      <c r="AC346" s="9">
        <v>0.0</v>
      </c>
      <c r="AD346" s="9">
        <v>0.0</v>
      </c>
      <c r="AE346" s="9">
        <v>0.0</v>
      </c>
      <c r="AF346" s="9">
        <v>0.0</v>
      </c>
      <c r="AG346" s="9">
        <v>0.0</v>
      </c>
      <c r="AH346" s="9">
        <v>0.0</v>
      </c>
      <c r="AI346" s="9">
        <v>0.0</v>
      </c>
      <c r="AJ346" s="9">
        <v>0.0</v>
      </c>
      <c r="AK346" s="9">
        <v>0.0</v>
      </c>
      <c r="AL346" s="9">
        <v>0.0</v>
      </c>
      <c r="AM346" s="9">
        <v>0.0</v>
      </c>
      <c r="AN346" s="9">
        <v>0.0</v>
      </c>
      <c r="AO346" s="9">
        <v>0.0</v>
      </c>
      <c r="AP346" s="9">
        <v>0.0</v>
      </c>
      <c r="AQ346" s="9">
        <v>0.0</v>
      </c>
      <c r="AR346" s="9">
        <v>0.0</v>
      </c>
      <c r="AS346" s="9">
        <v>0.0</v>
      </c>
      <c r="AT346" s="9">
        <v>0.0</v>
      </c>
      <c r="AU346" s="9">
        <v>0.0</v>
      </c>
      <c r="AV346" s="9">
        <v>0.0</v>
      </c>
      <c r="AW346" s="9">
        <v>0.0</v>
      </c>
    </row>
    <row r="347" ht="15.0" customHeight="1">
      <c r="A347" s="5" t="s">
        <v>749</v>
      </c>
      <c r="B347" s="5" t="s">
        <v>750</v>
      </c>
      <c r="C347" s="5" t="s">
        <v>136</v>
      </c>
      <c r="D347" s="5" t="s">
        <v>83</v>
      </c>
      <c r="E347" s="5">
        <v>4.0</v>
      </c>
      <c r="F347" s="6">
        <v>0.1851851852</v>
      </c>
      <c r="G347" s="10">
        <v>76.0</v>
      </c>
      <c r="H347" s="5">
        <v>580.0</v>
      </c>
      <c r="I347" s="5" t="b">
        <v>0</v>
      </c>
      <c r="J347" s="5" t="b">
        <v>0</v>
      </c>
      <c r="K347" s="7">
        <v>27.306666667552</v>
      </c>
      <c r="L347" s="8">
        <v>0.05338203175062405</v>
      </c>
      <c r="M347" s="9">
        <f t="shared" si="1"/>
        <v>1.139644511</v>
      </c>
      <c r="N347" s="7">
        <f t="shared" si="2"/>
        <v>38.74791337</v>
      </c>
      <c r="O347" s="9">
        <f t="shared" si="3"/>
        <v>9.686978342</v>
      </c>
      <c r="P347" s="9">
        <v>1.138768772623332</v>
      </c>
      <c r="Q347" s="9">
        <v>1.129346302676159</v>
      </c>
      <c r="R347" s="9">
        <v>1.123517256648195</v>
      </c>
      <c r="S347" s="9">
        <v>1.155790105159659</v>
      </c>
      <c r="T347" s="9">
        <v>1.141149370336921</v>
      </c>
      <c r="U347" s="9">
        <v>1.140909732364686</v>
      </c>
      <c r="V347" s="9">
        <v>1.118933449245014</v>
      </c>
      <c r="W347" s="9">
        <v>1.143438389585829</v>
      </c>
      <c r="X347" s="9">
        <v>1.125323815281626</v>
      </c>
      <c r="Y347" s="9">
        <v>1.139466268226949</v>
      </c>
      <c r="Z347" s="9">
        <v>1.123431182942753</v>
      </c>
      <c r="AA347" s="9">
        <v>1.179705145266412</v>
      </c>
      <c r="AB347" s="9">
        <v>1.108409539236499</v>
      </c>
      <c r="AC347" s="9">
        <v>1.171434760488438</v>
      </c>
      <c r="AD347" s="9">
        <v>1.134371028537707</v>
      </c>
      <c r="AE347" s="9">
        <v>1.143827190015243</v>
      </c>
      <c r="AF347" s="9">
        <v>1.134878709123964</v>
      </c>
      <c r="AG347" s="9">
        <v>1.130322609996826</v>
      </c>
      <c r="AH347" s="9">
        <v>1.126623756898244</v>
      </c>
      <c r="AI347" s="9">
        <v>1.167960335577841</v>
      </c>
      <c r="AJ347" s="9">
        <v>1.119142785252441</v>
      </c>
      <c r="AK347" s="9">
        <v>1.140631105650837</v>
      </c>
      <c r="AL347" s="9">
        <v>1.106010915371515</v>
      </c>
      <c r="AM347" s="9">
        <v>1.149136697741525</v>
      </c>
      <c r="AN347" s="9">
        <v>1.148290302126067</v>
      </c>
      <c r="AO347" s="9">
        <v>1.146732163989337</v>
      </c>
      <c r="AP347" s="9">
        <v>1.114611596162652</v>
      </c>
      <c r="AQ347" s="9">
        <v>1.17376473264338</v>
      </c>
      <c r="AR347" s="9">
        <v>1.121042599521917</v>
      </c>
      <c r="AS347" s="9">
        <v>1.170200548409529</v>
      </c>
      <c r="AT347" s="9">
        <v>1.167031967303563</v>
      </c>
      <c r="AU347" s="9">
        <v>1.110455024593286</v>
      </c>
      <c r="AV347" s="9">
        <v>1.161178559674445</v>
      </c>
      <c r="AW347" s="9">
        <v>1.142076650515296</v>
      </c>
    </row>
    <row r="348" ht="15.0" customHeight="1">
      <c r="A348" s="5" t="s">
        <v>751</v>
      </c>
      <c r="B348" s="5" t="s">
        <v>752</v>
      </c>
      <c r="C348" s="5" t="s">
        <v>136</v>
      </c>
      <c r="D348" s="5" t="s">
        <v>83</v>
      </c>
      <c r="E348" s="5">
        <v>4.0</v>
      </c>
      <c r="F348" s="6">
        <v>0.3</v>
      </c>
      <c r="G348" s="10">
        <v>72.0</v>
      </c>
      <c r="H348" s="5">
        <v>504.0</v>
      </c>
      <c r="I348" s="5" t="b">
        <v>0</v>
      </c>
      <c r="J348" s="5" t="b">
        <v>0</v>
      </c>
      <c r="K348" s="7">
        <v>32.968</v>
      </c>
      <c r="L348" s="8">
        <v>0.06698127743673306</v>
      </c>
      <c r="M348" s="9">
        <f t="shared" si="1"/>
        <v>1.10035988</v>
      </c>
      <c r="N348" s="7">
        <f t="shared" si="2"/>
        <v>37.41223594</v>
      </c>
      <c r="O348" s="9">
        <f t="shared" si="3"/>
        <v>9.353058984</v>
      </c>
      <c r="P348" s="9">
        <v>1.100021182793303</v>
      </c>
      <c r="Q348" s="9">
        <v>1.096376978676642</v>
      </c>
      <c r="R348" s="9">
        <v>1.094122555616616</v>
      </c>
      <c r="S348" s="9">
        <v>1.106604298520676</v>
      </c>
      <c r="T348" s="9">
        <v>1.100941895094495</v>
      </c>
      <c r="U348" s="9">
        <v>1.10084921348449</v>
      </c>
      <c r="V348" s="9">
        <v>1.092349737034832</v>
      </c>
      <c r="W348" s="9">
        <v>1.101827188803762</v>
      </c>
      <c r="X348" s="9">
        <v>1.094821254412775</v>
      </c>
      <c r="Y348" s="9">
        <v>1.10029094394556</v>
      </c>
      <c r="Z348" s="9">
        <v>1.094089266027637</v>
      </c>
      <c r="AA348" s="9">
        <v>1.115853602375796</v>
      </c>
      <c r="AB348" s="9">
        <v>1.088279543508992</v>
      </c>
      <c r="AC348" s="9">
        <v>1.112654975007045</v>
      </c>
      <c r="AD348" s="9">
        <v>1.098320325460703</v>
      </c>
      <c r="AE348" s="9">
        <v>1.101977560005089</v>
      </c>
      <c r="AF348" s="9">
        <v>1.098516674368447</v>
      </c>
      <c r="AG348" s="9">
        <v>1.096754572150227</v>
      </c>
      <c r="AH348" s="9">
        <v>1.095324015643881</v>
      </c>
      <c r="AI348" s="9">
        <v>1.111311217623555</v>
      </c>
      <c r="AJ348" s="9">
        <v>1.092430699154563</v>
      </c>
      <c r="AK348" s="9">
        <v>1.100741452714404</v>
      </c>
      <c r="AL348" s="9">
        <v>1.087351859471569</v>
      </c>
      <c r="AM348" s="9">
        <v>1.10403104810556</v>
      </c>
      <c r="AN348" s="9">
        <v>1.103703698864493</v>
      </c>
      <c r="AO348" s="9">
        <v>1.103101078379203</v>
      </c>
      <c r="AP348" s="9">
        <v>1.090678231062125</v>
      </c>
      <c r="AQ348" s="9">
        <v>1.113556107530295</v>
      </c>
      <c r="AR348" s="9">
        <v>1.093165465200041</v>
      </c>
      <c r="AS348" s="9">
        <v>1.112177635120156</v>
      </c>
      <c r="AT348" s="9">
        <v>1.110952164901087</v>
      </c>
      <c r="AU348" s="9">
        <v>1.089070648834832</v>
      </c>
      <c r="AV348" s="9">
        <v>1.108688319826694</v>
      </c>
      <c r="AW348" s="9">
        <v>1.101300526988497</v>
      </c>
    </row>
    <row r="349" ht="15.0" customHeight="1">
      <c r="A349" s="5" t="s">
        <v>753</v>
      </c>
      <c r="B349" s="5" t="s">
        <v>754</v>
      </c>
      <c r="C349" s="5" t="s">
        <v>136</v>
      </c>
      <c r="D349" s="5" t="s">
        <v>83</v>
      </c>
      <c r="E349" s="5">
        <v>4.5</v>
      </c>
      <c r="F349" s="6">
        <v>0.1923076923</v>
      </c>
      <c r="G349" s="5">
        <v>76.0</v>
      </c>
      <c r="H349" s="5">
        <v>574.0</v>
      </c>
      <c r="I349" s="5" t="b">
        <v>0</v>
      </c>
      <c r="J349" s="5" t="b">
        <v>0</v>
      </c>
      <c r="K349" s="7">
        <v>27.732307691848</v>
      </c>
      <c r="L349" s="8">
        <v>0.08798872967048117</v>
      </c>
      <c r="M349" s="9">
        <f t="shared" si="1"/>
        <v>1.32750794</v>
      </c>
      <c r="N349" s="7">
        <f t="shared" si="2"/>
        <v>45.13526997</v>
      </c>
      <c r="O349" s="9">
        <f t="shared" si="3"/>
        <v>10.03005999</v>
      </c>
      <c r="P349" s="9">
        <v>1.325076336452163</v>
      </c>
      <c r="Q349" s="9">
        <v>1.298913593944381</v>
      </c>
      <c r="R349" s="9">
        <v>1.282728471449893</v>
      </c>
      <c r="S349" s="9">
        <v>1.372338332805981</v>
      </c>
      <c r="T349" s="9">
        <v>1.331686383005183</v>
      </c>
      <c r="U349" s="9">
        <v>1.331020996264993</v>
      </c>
      <c r="V349" s="9">
        <v>1.270000919813532</v>
      </c>
      <c r="W349" s="9">
        <v>1.338042149756395</v>
      </c>
      <c r="X349" s="9">
        <v>1.287744622057604</v>
      </c>
      <c r="Y349" s="9">
        <v>1.327013025874368</v>
      </c>
      <c r="Z349" s="9">
        <v>1.282489476345126</v>
      </c>
      <c r="AA349" s="9">
        <v>1.438741626197644</v>
      </c>
      <c r="AB349" s="9">
        <v>1.240779882307282</v>
      </c>
      <c r="AC349" s="9">
        <v>1.415777801574217</v>
      </c>
      <c r="AD349" s="9">
        <v>1.312865414393256</v>
      </c>
      <c r="AE349" s="9">
        <v>1.339121705921467</v>
      </c>
      <c r="AF349" s="9">
        <v>1.314275057143925</v>
      </c>
      <c r="AG349" s="9">
        <v>1.301624441225643</v>
      </c>
      <c r="AH349" s="9">
        <v>1.291354083056834</v>
      </c>
      <c r="AI349" s="9">
        <v>1.406130598154285</v>
      </c>
      <c r="AJ349" s="9">
        <v>1.270582169113412</v>
      </c>
      <c r="AK349" s="9">
        <v>1.33024735209196</v>
      </c>
      <c r="AL349" s="9">
        <v>1.234119783744545</v>
      </c>
      <c r="AM349" s="9">
        <v>1.35386426113943</v>
      </c>
      <c r="AN349" s="9">
        <v>1.35151413100677</v>
      </c>
      <c r="AO349" s="9">
        <v>1.347187752987909</v>
      </c>
      <c r="AP349" s="9">
        <v>1.258000719230858</v>
      </c>
      <c r="AQ349" s="9">
        <v>1.422247279522334</v>
      </c>
      <c r="AR349" s="9">
        <v>1.275857256412556</v>
      </c>
      <c r="AS349" s="9">
        <v>1.412350847389005</v>
      </c>
      <c r="AT349" s="9">
        <v>1.403552860018902</v>
      </c>
      <c r="AU349" s="9">
        <v>1.246459444777961</v>
      </c>
      <c r="AV349" s="9">
        <v>1.387300094294809</v>
      </c>
      <c r="AW349" s="9">
        <v>1.3342610998974</v>
      </c>
    </row>
    <row r="350" ht="15.0" customHeight="1">
      <c r="A350" s="5" t="s">
        <v>755</v>
      </c>
      <c r="B350" s="5" t="s">
        <v>756</v>
      </c>
      <c r="C350" s="5" t="s">
        <v>136</v>
      </c>
      <c r="D350" s="5" t="s">
        <v>83</v>
      </c>
      <c r="E350" s="5">
        <v>4.5</v>
      </c>
      <c r="F350" s="6"/>
      <c r="G350" s="5"/>
      <c r="H350" s="5">
        <v>1306.0</v>
      </c>
      <c r="I350" s="5" t="b">
        <v>0</v>
      </c>
      <c r="J350" s="5" t="b">
        <v>0</v>
      </c>
      <c r="K350" s="7">
        <v>16.24</v>
      </c>
      <c r="L350" s="8">
        <v>0.07282623082135238</v>
      </c>
      <c r="M350" s="9">
        <f t="shared" si="1"/>
        <v>1.112571541</v>
      </c>
      <c r="N350" s="7">
        <f t="shared" si="2"/>
        <v>37.8274324</v>
      </c>
      <c r="O350" s="9">
        <f t="shared" si="3"/>
        <v>8.406096089</v>
      </c>
      <c r="P350" s="9">
        <v>1.111617765119694</v>
      </c>
      <c r="Q350" s="9">
        <v>1.101355650434231</v>
      </c>
      <c r="R350" s="9">
        <v>1.095007172892655</v>
      </c>
      <c r="S350" s="9">
        <v>1.130155883847215</v>
      </c>
      <c r="T350" s="9">
        <v>1.114210500028245</v>
      </c>
      <c r="U350" s="9">
        <v>1.113949507701619</v>
      </c>
      <c r="V350" s="9">
        <v>1.090014898305286</v>
      </c>
      <c r="W350" s="9">
        <v>1.116703495833084</v>
      </c>
      <c r="X350" s="9">
        <v>1.09697471558435</v>
      </c>
      <c r="Y350" s="9">
        <v>1.112377415181414</v>
      </c>
      <c r="Z350" s="9">
        <v>1.094913429082209</v>
      </c>
      <c r="AA350" s="9">
        <v>1.156202014602621</v>
      </c>
      <c r="AB350" s="9">
        <v>1.078553193247868</v>
      </c>
      <c r="AC350" s="9">
        <v>1.147194648427902</v>
      </c>
      <c r="AD350" s="9">
        <v>1.106828134118798</v>
      </c>
      <c r="AE350" s="9">
        <v>1.117126942617077</v>
      </c>
      <c r="AF350" s="9">
        <v>1.10738105457691</v>
      </c>
      <c r="AG350" s="9">
        <v>1.102418957374886</v>
      </c>
      <c r="AH350" s="9">
        <v>1.098390496163002</v>
      </c>
      <c r="AI350" s="9">
        <v>1.143410614400892</v>
      </c>
      <c r="AJ350" s="9">
        <v>1.090242888431872</v>
      </c>
      <c r="AK350" s="9">
        <v>1.113646052311686</v>
      </c>
      <c r="AL350" s="9">
        <v>1.075940825861423</v>
      </c>
      <c r="AM350" s="9">
        <v>1.122909585333471</v>
      </c>
      <c r="AN350" s="9">
        <v>1.121987766646461</v>
      </c>
      <c r="AO350" s="9">
        <v>1.120290781424479</v>
      </c>
      <c r="AP350" s="9">
        <v>1.085307921022941</v>
      </c>
      <c r="AQ350" s="9">
        <v>1.14973224648892</v>
      </c>
      <c r="AR350" s="9">
        <v>1.092311996852886</v>
      </c>
      <c r="AS350" s="9">
        <v>1.145850454604949</v>
      </c>
      <c r="AT350" s="9">
        <v>1.142399518397997</v>
      </c>
      <c r="AU350" s="9">
        <v>1.080780953637285</v>
      </c>
      <c r="AV350" s="9">
        <v>1.136024508371163</v>
      </c>
      <c r="AW350" s="9">
        <v>1.115220410974036</v>
      </c>
    </row>
    <row r="351" ht="15.0" customHeight="1">
      <c r="A351" s="5" t="s">
        <v>757</v>
      </c>
      <c r="B351" s="5" t="s">
        <v>758</v>
      </c>
      <c r="C351" s="5" t="s">
        <v>136</v>
      </c>
      <c r="D351" s="5" t="s">
        <v>83</v>
      </c>
      <c r="E351" s="5">
        <v>4.5</v>
      </c>
      <c r="F351" s="6"/>
      <c r="G351" s="5"/>
      <c r="H351" s="5">
        <v>722.0</v>
      </c>
      <c r="I351" s="5" t="b">
        <v>0</v>
      </c>
      <c r="J351" s="5" t="b">
        <v>0</v>
      </c>
      <c r="K351" s="7">
        <v>16.24</v>
      </c>
      <c r="L351" s="8">
        <v>0.0814503283634682</v>
      </c>
      <c r="M351" s="9">
        <f t="shared" si="1"/>
        <v>1.148758245</v>
      </c>
      <c r="N351" s="7">
        <f t="shared" si="2"/>
        <v>39.05778035</v>
      </c>
      <c r="O351" s="9">
        <f t="shared" si="3"/>
        <v>8.679506743</v>
      </c>
      <c r="P351" s="9">
        <v>1.147579662129307</v>
      </c>
      <c r="Q351" s="9">
        <v>1.134898742846902</v>
      </c>
      <c r="R351" s="9">
        <v>1.127053914199164</v>
      </c>
      <c r="S351" s="9">
        <v>1.1704872590951</v>
      </c>
      <c r="T351" s="9">
        <v>1.150783510761263</v>
      </c>
      <c r="U351" s="9">
        <v>1.150461001928658</v>
      </c>
      <c r="V351" s="9">
        <v>1.120884948735573</v>
      </c>
      <c r="W351" s="9">
        <v>1.153864111547895</v>
      </c>
      <c r="X351" s="9">
        <v>1.129485211336528</v>
      </c>
      <c r="Y351" s="9">
        <v>1.148518363499424</v>
      </c>
      <c r="Z351" s="9">
        <v>1.126938074751845</v>
      </c>
      <c r="AA351" s="9">
        <v>1.202672524203873</v>
      </c>
      <c r="AB351" s="9">
        <v>1.106721692805707</v>
      </c>
      <c r="AC351" s="9">
        <v>1.19154210061092</v>
      </c>
      <c r="AD351" s="9">
        <v>1.141661103822712</v>
      </c>
      <c r="AE351" s="9">
        <v>1.154387365736023</v>
      </c>
      <c r="AF351" s="9">
        <v>1.142344348934838</v>
      </c>
      <c r="AG351" s="9">
        <v>1.136212673737381</v>
      </c>
      <c r="AH351" s="9">
        <v>1.131234694731498</v>
      </c>
      <c r="AI351" s="9">
        <v>1.186866160852971</v>
      </c>
      <c r="AJ351" s="9">
        <v>1.121166676671875</v>
      </c>
      <c r="AK351" s="9">
        <v>1.150086021388731</v>
      </c>
      <c r="AL351" s="9">
        <v>1.103493584274585</v>
      </c>
      <c r="AM351" s="9">
        <v>1.161532990957835</v>
      </c>
      <c r="AN351" s="9">
        <v>1.160393897435566</v>
      </c>
      <c r="AO351" s="9">
        <v>1.158296928800644</v>
      </c>
      <c r="AP351" s="9">
        <v>1.115068525823629</v>
      </c>
      <c r="AQ351" s="9">
        <v>1.194677816510542</v>
      </c>
      <c r="AR351" s="9">
        <v>1.123723478820128</v>
      </c>
      <c r="AS351" s="9">
        <v>1.189881077138543</v>
      </c>
      <c r="AT351" s="9">
        <v>1.18561674714123</v>
      </c>
      <c r="AU351" s="9">
        <v>1.109474541564916</v>
      </c>
      <c r="AV351" s="9">
        <v>1.177739132238979</v>
      </c>
      <c r="AW351" s="9">
        <v>1.15203146009515</v>
      </c>
    </row>
    <row r="352" ht="15.0" customHeight="1">
      <c r="A352" s="5" t="s">
        <v>759</v>
      </c>
      <c r="B352" s="5" t="s">
        <v>760</v>
      </c>
      <c r="C352" s="5" t="s">
        <v>136</v>
      </c>
      <c r="D352" s="5" t="s">
        <v>83</v>
      </c>
      <c r="E352" s="5">
        <v>4.0</v>
      </c>
      <c r="F352" s="6"/>
      <c r="G352" s="10"/>
      <c r="H352" s="5">
        <v>1330.0</v>
      </c>
      <c r="I352" s="5" t="b">
        <v>1</v>
      </c>
      <c r="J352" s="5" t="b">
        <v>0</v>
      </c>
      <c r="K352" s="7">
        <v>80.76</v>
      </c>
      <c r="L352" s="8">
        <v>0.07715077919675105</v>
      </c>
      <c r="M352" s="9">
        <f t="shared" si="1"/>
        <v>3.218497938</v>
      </c>
      <c r="N352" s="7">
        <f t="shared" si="2"/>
        <v>109.4289299</v>
      </c>
      <c r="O352" s="9">
        <f t="shared" si="3"/>
        <v>27.35723247</v>
      </c>
      <c r="P352" s="9">
        <v>3.437561564612071</v>
      </c>
      <c r="Q352" s="9">
        <v>2.852040450810633</v>
      </c>
      <c r="R352" s="9">
        <v>2.745852919026014</v>
      </c>
      <c r="S352" s="9">
        <v>3.636686008237179</v>
      </c>
      <c r="T352" s="9">
        <v>3.451845550262068</v>
      </c>
      <c r="U352" s="9">
        <v>3.336563348119817</v>
      </c>
      <c r="V352" s="9">
        <v>2.796801372073778</v>
      </c>
      <c r="W352" s="9">
        <v>3.178822052440107</v>
      </c>
      <c r="X352" s="9">
        <v>2.797213585484956</v>
      </c>
      <c r="Y352" s="9">
        <v>3.241526036836079</v>
      </c>
      <c r="Z352" s="9">
        <v>3.050862642458085</v>
      </c>
      <c r="AA352" s="9">
        <v>3.810828911767382</v>
      </c>
      <c r="AB352" s="9">
        <v>2.601076267150113</v>
      </c>
      <c r="AC352" s="9">
        <v>3.519133649895227</v>
      </c>
      <c r="AD352" s="9">
        <v>3.407382656236766</v>
      </c>
      <c r="AE352" s="9">
        <v>3.243080210944418</v>
      </c>
      <c r="AF352" s="9">
        <v>3.159664767184024</v>
      </c>
      <c r="AG352" s="9">
        <v>3.106595143133151</v>
      </c>
      <c r="AH352" s="9">
        <v>2.980068826392197</v>
      </c>
      <c r="AI352" s="9">
        <v>3.801273624230964</v>
      </c>
      <c r="AJ352" s="9">
        <v>2.866069245327656</v>
      </c>
      <c r="AK352" s="9">
        <v>3.246966166838053</v>
      </c>
      <c r="AL352" s="9">
        <v>2.650482076456508</v>
      </c>
      <c r="AM352" s="9">
        <v>3.247607085287559</v>
      </c>
      <c r="AN352" s="9">
        <v>3.242878952038123</v>
      </c>
      <c r="AO352" s="9">
        <v>3.178109721215764</v>
      </c>
      <c r="AP352" s="9">
        <v>2.731263106302207</v>
      </c>
      <c r="AQ352" s="9">
        <v>3.807104358171662</v>
      </c>
      <c r="AR352" s="9">
        <v>2.746010069432938</v>
      </c>
      <c r="AS352" s="9">
        <v>4.036987646388601</v>
      </c>
      <c r="AT352" s="9">
        <v>4.018519489179727</v>
      </c>
      <c r="AU352" s="9">
        <v>2.517442268310266</v>
      </c>
      <c r="AV352" s="9">
        <v>3.980288642905879</v>
      </c>
      <c r="AW352" s="9">
        <v>3.004321479785517</v>
      </c>
    </row>
    <row r="353" ht="15.0" customHeight="1">
      <c r="A353" s="5" t="s">
        <v>761</v>
      </c>
      <c r="B353" s="5" t="s">
        <v>762</v>
      </c>
      <c r="C353" s="5" t="s">
        <v>136</v>
      </c>
      <c r="D353" s="5" t="s">
        <v>52</v>
      </c>
      <c r="E353" s="5">
        <v>5.0</v>
      </c>
      <c r="F353" s="6">
        <v>0.3529411765</v>
      </c>
      <c r="G353" s="5">
        <v>85.0</v>
      </c>
      <c r="H353" s="5">
        <v>1353.0</v>
      </c>
      <c r="I353" s="5" t="b">
        <v>0</v>
      </c>
      <c r="J353" s="5" t="b">
        <v>0</v>
      </c>
      <c r="K353" s="7">
        <v>44.850000001825</v>
      </c>
      <c r="L353" s="8">
        <v>0.04798421532846678</v>
      </c>
      <c r="M353" s="9">
        <f t="shared" si="1"/>
        <v>0.9562717792</v>
      </c>
      <c r="N353" s="7">
        <f t="shared" si="2"/>
        <v>32.51324049</v>
      </c>
      <c r="O353" s="9">
        <f t="shared" si="3"/>
        <v>6.502648099</v>
      </c>
      <c r="P353" s="9">
        <v>0.955640522472103</v>
      </c>
      <c r="Q353" s="9">
        <v>0.9488485412102652</v>
      </c>
      <c r="R353" s="9">
        <v>0.9446468009427682</v>
      </c>
      <c r="S353" s="9">
        <v>0.9679099775392348</v>
      </c>
      <c r="T353" s="9">
        <v>0.9573565242373855</v>
      </c>
      <c r="U353" s="9">
        <v>0.9571837864492923</v>
      </c>
      <c r="V353" s="9">
        <v>0.9413426636873745</v>
      </c>
      <c r="W353" s="9">
        <v>0.9590065136704888</v>
      </c>
      <c r="X353" s="9">
        <v>0.9459490191992828</v>
      </c>
      <c r="Y353" s="9">
        <v>0.956143296914106</v>
      </c>
      <c r="Z353" s="9">
        <v>0.9445847565958208</v>
      </c>
      <c r="AA353" s="9">
        <v>0.9851486108478924</v>
      </c>
      <c r="AB353" s="9">
        <v>0.9337567334610278</v>
      </c>
      <c r="AC353" s="9">
        <v>0.9791870849682547</v>
      </c>
      <c r="AD353" s="9">
        <v>0.9524705048873949</v>
      </c>
      <c r="AE353" s="9">
        <v>0.9592867719515957</v>
      </c>
      <c r="AF353" s="9">
        <v>0.9528364553280103</v>
      </c>
      <c r="AG353" s="9">
        <v>0.94955229097704</v>
      </c>
      <c r="AH353" s="9">
        <v>0.9468860536659415</v>
      </c>
      <c r="AI353" s="9">
        <v>0.97668262180512</v>
      </c>
      <c r="AJ353" s="9">
        <v>0.9414935589672583</v>
      </c>
      <c r="AK353" s="9">
        <v>0.9569829444800297</v>
      </c>
      <c r="AL353" s="9">
        <v>0.9320277379389932</v>
      </c>
      <c r="AM353" s="9">
        <v>0.9631140144038052</v>
      </c>
      <c r="AN353" s="9">
        <v>0.9625039086467669</v>
      </c>
      <c r="AO353" s="9">
        <v>0.9613807588689104</v>
      </c>
      <c r="AP353" s="9">
        <v>0.9382273504715841</v>
      </c>
      <c r="AQ353" s="9">
        <v>0.9808665944074664</v>
      </c>
      <c r="AR353" s="9">
        <v>0.9428629985082271</v>
      </c>
      <c r="AS353" s="9">
        <v>0.9782974302004408</v>
      </c>
      <c r="AT353" s="9">
        <v>0.9760134278508458</v>
      </c>
      <c r="AU353" s="9">
        <v>0.9352311768174464</v>
      </c>
      <c r="AV353" s="9">
        <v>0.9717941270562808</v>
      </c>
      <c r="AW353" s="9">
        <v>0.95802493386154</v>
      </c>
    </row>
    <row r="354" ht="15.0" customHeight="1">
      <c r="A354" s="5" t="s">
        <v>763</v>
      </c>
      <c r="B354" s="5" t="s">
        <v>764</v>
      </c>
      <c r="C354" s="5" t="s">
        <v>136</v>
      </c>
      <c r="D354" s="5" t="s">
        <v>52</v>
      </c>
      <c r="E354" s="5">
        <v>5.0</v>
      </c>
      <c r="F354" s="6">
        <v>0.1538461538</v>
      </c>
      <c r="G354" s="5">
        <v>66.0</v>
      </c>
      <c r="H354" s="5">
        <v>140.0</v>
      </c>
      <c r="I354" s="5" t="b">
        <v>0</v>
      </c>
      <c r="J354" s="5" t="b">
        <v>0</v>
      </c>
      <c r="K354" s="7">
        <v>29.57307692109</v>
      </c>
      <c r="L354" s="8">
        <v>0.07367336309398878</v>
      </c>
      <c r="M354" s="9">
        <f t="shared" si="1"/>
        <v>1.254712479</v>
      </c>
      <c r="N354" s="7">
        <f t="shared" si="2"/>
        <v>42.66022428</v>
      </c>
      <c r="O354" s="9">
        <f t="shared" si="3"/>
        <v>8.532044855</v>
      </c>
      <c r="P354" s="9">
        <v>1.252874571802194</v>
      </c>
      <c r="Q354" s="9">
        <v>1.233099687252974</v>
      </c>
      <c r="R354" s="9">
        <v>1.220866301221358</v>
      </c>
      <c r="S354" s="9">
        <v>1.288597146420828</v>
      </c>
      <c r="T354" s="9">
        <v>1.257870718800623</v>
      </c>
      <c r="U354" s="9">
        <v>1.257367791939499</v>
      </c>
      <c r="V354" s="9">
        <v>1.211246290470253</v>
      </c>
      <c r="W354" s="9">
        <v>1.262674670591594</v>
      </c>
      <c r="X354" s="9">
        <v>1.224657715638997</v>
      </c>
      <c r="Y354" s="9">
        <v>1.254338401892652</v>
      </c>
      <c r="Z354" s="9">
        <v>1.220685658821075</v>
      </c>
      <c r="AA354" s="9">
        <v>1.338787506247115</v>
      </c>
      <c r="AB354" s="9">
        <v>1.189159819874801</v>
      </c>
      <c r="AC354" s="9">
        <v>1.321430496346424</v>
      </c>
      <c r="AD354" s="9">
        <v>1.24364505108652</v>
      </c>
      <c r="AE354" s="9">
        <v>1.263490643860541</v>
      </c>
      <c r="AF354" s="9">
        <v>1.244710517470322</v>
      </c>
      <c r="AG354" s="9">
        <v>1.235148657921916</v>
      </c>
      <c r="AH354" s="9">
        <v>1.227385895780029</v>
      </c>
      <c r="AI354" s="9">
        <v>1.314138740377216</v>
      </c>
      <c r="AJ354" s="9">
        <v>1.211685622768693</v>
      </c>
      <c r="AK354" s="9">
        <v>1.256783039626191</v>
      </c>
      <c r="AL354" s="9">
        <v>1.18412584149408</v>
      </c>
      <c r="AM354" s="9">
        <v>1.274633677787852</v>
      </c>
      <c r="AN354" s="9">
        <v>1.272857352082121</v>
      </c>
      <c r="AO354" s="9">
        <v>1.269587296360179</v>
      </c>
      <c r="AP354" s="9">
        <v>1.202176041775214</v>
      </c>
      <c r="AQ354" s="9">
        <v>1.326320395770374</v>
      </c>
      <c r="AR354" s="9">
        <v>1.215672752263875</v>
      </c>
      <c r="AS354" s="9">
        <v>1.318840262415564</v>
      </c>
      <c r="AT354" s="9">
        <v>1.312190379114624</v>
      </c>
      <c r="AU354" s="9">
        <v>1.193452668459553</v>
      </c>
      <c r="AV354" s="9">
        <v>1.299905865528029</v>
      </c>
      <c r="AW354" s="9">
        <v>1.259816796482478</v>
      </c>
    </row>
    <row r="355" ht="15.0" customHeight="1">
      <c r="A355" s="5" t="s">
        <v>765</v>
      </c>
      <c r="B355" s="5" t="s">
        <v>766</v>
      </c>
      <c r="C355" s="5" t="s">
        <v>136</v>
      </c>
      <c r="D355" s="5" t="s">
        <v>52</v>
      </c>
      <c r="E355" s="5">
        <v>5.0</v>
      </c>
      <c r="F355" s="6"/>
      <c r="G355" s="5"/>
      <c r="H355" s="5">
        <v>939.0</v>
      </c>
      <c r="I355" s="5" t="b">
        <v>0</v>
      </c>
      <c r="J355" s="5" t="b">
        <v>0</v>
      </c>
      <c r="K355" s="7">
        <v>22.95</v>
      </c>
      <c r="L355" s="8">
        <v>0.0719564146882875</v>
      </c>
      <c r="M355" s="9">
        <f t="shared" si="1"/>
        <v>1.161040083</v>
      </c>
      <c r="N355" s="7">
        <f t="shared" si="2"/>
        <v>39.47536281</v>
      </c>
      <c r="O355" s="9">
        <f t="shared" si="3"/>
        <v>7.895072563</v>
      </c>
      <c r="P355" s="9">
        <v>1.159608444864095</v>
      </c>
      <c r="Q355" s="9">
        <v>1.144204794979564</v>
      </c>
      <c r="R355" s="9">
        <v>1.134675596724865</v>
      </c>
      <c r="S355" s="9">
        <v>1.187434550803165</v>
      </c>
      <c r="T355" s="9">
        <v>1.163500194469202</v>
      </c>
      <c r="U355" s="9">
        <v>1.163108439500064</v>
      </c>
      <c r="V355" s="9">
        <v>1.127182087616044</v>
      </c>
      <c r="W355" s="9">
        <v>1.167242233582811</v>
      </c>
      <c r="X355" s="9">
        <v>1.137628919668981</v>
      </c>
      <c r="Y355" s="9">
        <v>1.160748695576949</v>
      </c>
      <c r="Z355" s="9">
        <v>1.134534885294598</v>
      </c>
      <c r="AA355" s="9">
        <v>1.226530340637915</v>
      </c>
      <c r="AB355" s="9">
        <v>1.10997782736408</v>
      </c>
      <c r="AC355" s="9">
        <v>1.213010094646738</v>
      </c>
      <c r="AD355" s="9">
        <v>1.15241910803877</v>
      </c>
      <c r="AE355" s="9">
        <v>1.167877836107757</v>
      </c>
      <c r="AF355" s="9">
        <v>1.15324905327051</v>
      </c>
      <c r="AG355" s="9">
        <v>1.145800841051515</v>
      </c>
      <c r="AH355" s="9">
        <v>1.139754036081661</v>
      </c>
      <c r="AI355" s="9">
        <v>1.207330180020002</v>
      </c>
      <c r="AJ355" s="9">
        <v>1.127524305589114</v>
      </c>
      <c r="AK355" s="9">
        <v>1.162652946580196</v>
      </c>
      <c r="AL355" s="9">
        <v>1.106056608996917</v>
      </c>
      <c r="AM355" s="9">
        <v>1.176557704394245</v>
      </c>
      <c r="AN355" s="9">
        <v>1.175174035165539</v>
      </c>
      <c r="AO355" s="9">
        <v>1.172626824671423</v>
      </c>
      <c r="AP355" s="9">
        <v>1.120116815759905</v>
      </c>
      <c r="AQ355" s="9">
        <v>1.21681908268455</v>
      </c>
      <c r="AR355" s="9">
        <v>1.130630080828166</v>
      </c>
      <c r="AS355" s="9">
        <v>1.21099243145934</v>
      </c>
      <c r="AT355" s="9">
        <v>1.205812503663266</v>
      </c>
      <c r="AU355" s="9">
        <v>1.113321742543065</v>
      </c>
      <c r="AV355" s="9">
        <v>1.196243479590398</v>
      </c>
      <c r="AW355" s="9">
        <v>1.165016092030311</v>
      </c>
    </row>
    <row r="356" ht="15.0" customHeight="1">
      <c r="A356" s="5" t="s">
        <v>767</v>
      </c>
      <c r="B356" s="5" t="s">
        <v>768</v>
      </c>
      <c r="C356" s="5" t="s">
        <v>136</v>
      </c>
      <c r="D356" s="5" t="s">
        <v>52</v>
      </c>
      <c r="E356" s="5">
        <v>5.5</v>
      </c>
      <c r="F356" s="6"/>
      <c r="G356" s="10"/>
      <c r="H356" s="5">
        <v>1674.0</v>
      </c>
      <c r="I356" s="5" t="b">
        <v>0</v>
      </c>
      <c r="J356" s="5" t="b">
        <v>0</v>
      </c>
      <c r="K356" s="7">
        <v>22.95</v>
      </c>
      <c r="L356" s="8">
        <v>0.0686451390256626</v>
      </c>
      <c r="M356" s="9">
        <f t="shared" si="1"/>
        <v>1.361135725</v>
      </c>
      <c r="N356" s="7">
        <f t="shared" si="2"/>
        <v>46.27861464</v>
      </c>
      <c r="O356" s="9">
        <f t="shared" si="3"/>
        <v>8.41429357</v>
      </c>
      <c r="P356" s="9">
        <v>1.357862041340643</v>
      </c>
      <c r="Q356" s="9">
        <v>1.322638979659057</v>
      </c>
      <c r="R356" s="9">
        <v>1.300848849370622</v>
      </c>
      <c r="S356" s="9">
        <v>1.421491158673057</v>
      </c>
      <c r="T356" s="9">
        <v>1.366761187803821</v>
      </c>
      <c r="U356" s="9">
        <v>1.365865373529578</v>
      </c>
      <c r="V356" s="9">
        <v>1.283713668064237</v>
      </c>
      <c r="W356" s="9">
        <v>1.375317995800731</v>
      </c>
      <c r="X356" s="9">
        <v>1.30760212388712</v>
      </c>
      <c r="Y356" s="9">
        <v>1.360469418260555</v>
      </c>
      <c r="Z356" s="9">
        <v>1.300527088786298</v>
      </c>
      <c r="AA356" s="9">
        <v>1.510890322323399</v>
      </c>
      <c r="AB356" s="9">
        <v>1.244373204954284</v>
      </c>
      <c r="AC356" s="9">
        <v>1.479973983529195</v>
      </c>
      <c r="AD356" s="9">
        <v>1.341422401622368</v>
      </c>
      <c r="AE356" s="9">
        <v>1.376771408927423</v>
      </c>
      <c r="AF356" s="9">
        <v>1.343320212356126</v>
      </c>
      <c r="AG356" s="9">
        <v>1.326288610081741</v>
      </c>
      <c r="AH356" s="9">
        <v>1.312461563503412</v>
      </c>
      <c r="AI356" s="9">
        <v>1.466985894034602</v>
      </c>
      <c r="AJ356" s="9">
        <v>1.2844962075834</v>
      </c>
      <c r="AK356" s="9">
        <v>1.36482381160547</v>
      </c>
      <c r="AL356" s="9">
        <v>1.235406673161566</v>
      </c>
      <c r="AM356" s="9">
        <v>1.396619401989773</v>
      </c>
      <c r="AN356" s="9">
        <v>1.393455407290142</v>
      </c>
      <c r="AO356" s="9">
        <v>1.387630777866415</v>
      </c>
      <c r="AP356" s="9">
        <v>1.267557723969721</v>
      </c>
      <c r="AQ356" s="9">
        <v>1.488683881612182</v>
      </c>
      <c r="AR356" s="9">
        <v>1.291598090165405</v>
      </c>
      <c r="AS356" s="9">
        <v>1.475360253962818</v>
      </c>
      <c r="AT356" s="9">
        <v>1.463515469276397</v>
      </c>
      <c r="AU356" s="9">
        <v>1.252019634955636</v>
      </c>
      <c r="AV356" s="9">
        <v>1.441634270490535</v>
      </c>
      <c r="AW356" s="9">
        <v>1.370227545043709</v>
      </c>
    </row>
    <row r="357" ht="15.0" customHeight="1">
      <c r="A357" s="5" t="s">
        <v>769</v>
      </c>
      <c r="B357" s="5" t="s">
        <v>770</v>
      </c>
      <c r="C357" s="5" t="s">
        <v>136</v>
      </c>
      <c r="D357" s="5" t="s">
        <v>52</v>
      </c>
      <c r="E357" s="5">
        <v>5.0</v>
      </c>
      <c r="F357" s="6"/>
      <c r="G357" s="5"/>
      <c r="H357" s="5">
        <v>2641.0</v>
      </c>
      <c r="I357" s="5" t="b">
        <v>0</v>
      </c>
      <c r="J357" s="5" t="b">
        <v>0</v>
      </c>
      <c r="K357" s="7">
        <v>22.95</v>
      </c>
      <c r="L357" s="8">
        <v>0.03828951786176821</v>
      </c>
      <c r="M357" s="9">
        <f t="shared" si="1"/>
        <v>1.186637032</v>
      </c>
      <c r="N357" s="7">
        <f t="shared" si="2"/>
        <v>40.34565907</v>
      </c>
      <c r="O357" s="9">
        <f t="shared" si="3"/>
        <v>8.069131814</v>
      </c>
      <c r="P357" s="9">
        <v>1.184754699680257</v>
      </c>
      <c r="Q357" s="9">
        <v>1.164501826709814</v>
      </c>
      <c r="R357" s="9">
        <v>1.151972741511869</v>
      </c>
      <c r="S357" s="9">
        <v>1.221340742148805</v>
      </c>
      <c r="T357" s="9">
        <v>1.189871610995162</v>
      </c>
      <c r="U357" s="9">
        <v>1.189356527642518</v>
      </c>
      <c r="V357" s="9">
        <v>1.142120200768509</v>
      </c>
      <c r="W357" s="9">
        <v>1.194791681458103</v>
      </c>
      <c r="X357" s="9">
        <v>1.155855800064632</v>
      </c>
      <c r="Y357" s="9">
        <v>1.186253912724893</v>
      </c>
      <c r="Z357" s="9">
        <v>1.15178773271564</v>
      </c>
      <c r="AA357" s="9">
        <v>1.272744277748345</v>
      </c>
      <c r="AB357" s="9">
        <v>1.119499867273173</v>
      </c>
      <c r="AC357" s="9">
        <v>1.254967723058964</v>
      </c>
      <c r="AD357" s="9">
        <v>1.175302087698258</v>
      </c>
      <c r="AE357" s="9">
        <v>1.195627378016641</v>
      </c>
      <c r="AF357" s="9">
        <v>1.176393307991945</v>
      </c>
      <c r="AG357" s="9">
        <v>1.16660032405249</v>
      </c>
      <c r="AH357" s="9">
        <v>1.15864992438426</v>
      </c>
      <c r="AI357" s="9">
        <v>1.247499714484335</v>
      </c>
      <c r="AJ357" s="9">
        <v>1.142570152383143</v>
      </c>
      <c r="AK357" s="9">
        <v>1.188757640994602</v>
      </c>
      <c r="AL357" s="9">
        <v>1.114344210135103</v>
      </c>
      <c r="AM357" s="9">
        <v>1.207039755675456</v>
      </c>
      <c r="AN357" s="9">
        <v>1.205220493530953</v>
      </c>
      <c r="AO357" s="9">
        <v>1.20187139569031</v>
      </c>
      <c r="AP357" s="9">
        <v>1.132830710649174</v>
      </c>
      <c r="AQ357" s="9">
        <v>1.259975818637221</v>
      </c>
      <c r="AR357" s="9">
        <v>1.146653656738459</v>
      </c>
      <c r="AS357" s="9">
        <v>1.252314879314927</v>
      </c>
      <c r="AT357" s="9">
        <v>1.245504258427256</v>
      </c>
      <c r="AU357" s="9">
        <v>1.123896480403931</v>
      </c>
      <c r="AV357" s="9">
        <v>1.232922809845154</v>
      </c>
      <c r="AW357" s="9">
        <v>1.191864728273957</v>
      </c>
    </row>
    <row r="358" ht="15.0" customHeight="1">
      <c r="A358" s="5" t="s">
        <v>771</v>
      </c>
      <c r="B358" s="5" t="s">
        <v>772</v>
      </c>
      <c r="C358" s="5" t="s">
        <v>773</v>
      </c>
      <c r="D358" s="5" t="s">
        <v>103</v>
      </c>
      <c r="E358" s="5">
        <v>4.5</v>
      </c>
      <c r="F358" s="6">
        <v>0.972972973</v>
      </c>
      <c r="G358" s="5">
        <v>90.0</v>
      </c>
      <c r="H358" s="5">
        <v>3460.0</v>
      </c>
      <c r="I358" s="5" t="b">
        <v>1</v>
      </c>
      <c r="J358" s="5" t="b">
        <v>0</v>
      </c>
      <c r="K358" s="7">
        <v>87.56756757</v>
      </c>
      <c r="L358" s="8">
        <v>0.05302825741120358</v>
      </c>
      <c r="M358" s="9">
        <f t="shared" si="1"/>
        <v>3.336267403</v>
      </c>
      <c r="N358" s="7">
        <f t="shared" si="2"/>
        <v>113.4330917</v>
      </c>
      <c r="O358" s="9">
        <f t="shared" si="3"/>
        <v>25.20735372</v>
      </c>
      <c r="P358" s="9">
        <v>3.202817824445528</v>
      </c>
      <c r="Q358" s="9">
        <v>3.280295483183116</v>
      </c>
      <c r="R358" s="9">
        <v>3.29721964382661</v>
      </c>
      <c r="S358" s="9">
        <v>3.208333789844976</v>
      </c>
      <c r="T358" s="9">
        <v>3.559797189445576</v>
      </c>
      <c r="U358" s="9">
        <v>3.202332914700974</v>
      </c>
      <c r="V358" s="9">
        <v>3.716280816972447</v>
      </c>
      <c r="W358" s="9">
        <v>3.223719330290738</v>
      </c>
      <c r="X358" s="9">
        <v>3.206939750113435</v>
      </c>
      <c r="Y358" s="9">
        <v>3.297409407073736</v>
      </c>
      <c r="Z358" s="9">
        <v>3.307578000750916</v>
      </c>
      <c r="AA358" s="9">
        <v>3.492659097756458</v>
      </c>
      <c r="AB358" s="9">
        <v>3.206646373420694</v>
      </c>
      <c r="AC358" s="9">
        <v>3.361311616745013</v>
      </c>
      <c r="AD358" s="9">
        <v>3.514726272885848</v>
      </c>
      <c r="AE358" s="9">
        <v>3.425103065680716</v>
      </c>
      <c r="AF358" s="9">
        <v>3.202217012704185</v>
      </c>
      <c r="AG358" s="9">
        <v>3.376040867266808</v>
      </c>
      <c r="AH358" s="9">
        <v>3.543999212851338</v>
      </c>
      <c r="AI358" s="9">
        <v>3.239886122699775</v>
      </c>
      <c r="AJ358" s="9">
        <v>3.526563417967197</v>
      </c>
      <c r="AK358" s="9">
        <v>3.317220724459006</v>
      </c>
      <c r="AL358" s="9">
        <v>3.218594698070506</v>
      </c>
      <c r="AM358" s="9">
        <v>3.269688400281074</v>
      </c>
      <c r="AN358" s="9">
        <v>3.316993097078642</v>
      </c>
      <c r="AO358" s="9">
        <v>3.423819768752424</v>
      </c>
      <c r="AP358" s="9">
        <v>3.71802097203403</v>
      </c>
      <c r="AQ358" s="9">
        <v>3.277998935459844</v>
      </c>
      <c r="AR358" s="9">
        <v>3.238963223178323</v>
      </c>
      <c r="AS358" s="9">
        <v>3.203507219113619</v>
      </c>
      <c r="AT358" s="9">
        <v>3.202240102169191</v>
      </c>
      <c r="AU358" s="9">
        <v>3.273189679183591</v>
      </c>
      <c r="AV358" s="9">
        <v>3.290365961351674</v>
      </c>
      <c r="AW358" s="9">
        <v>3.290611726568021</v>
      </c>
    </row>
    <row r="359" ht="15.0" customHeight="1">
      <c r="A359" s="5" t="s">
        <v>774</v>
      </c>
      <c r="B359" s="5" t="s">
        <v>775</v>
      </c>
      <c r="C359" s="5" t="s">
        <v>773</v>
      </c>
      <c r="D359" s="5" t="s">
        <v>103</v>
      </c>
      <c r="E359" s="5">
        <v>4.5</v>
      </c>
      <c r="F359" s="6"/>
      <c r="G359" s="10"/>
      <c r="H359" s="5">
        <v>3460.0</v>
      </c>
      <c r="I359" s="5" t="b">
        <v>0</v>
      </c>
      <c r="J359" s="5" t="b">
        <v>0</v>
      </c>
      <c r="K359" s="7">
        <v>0.0</v>
      </c>
      <c r="L359" s="8">
        <v>0.05302825741120358</v>
      </c>
      <c r="M359" s="9">
        <f t="shared" si="1"/>
        <v>0</v>
      </c>
      <c r="N359" s="7">
        <f t="shared" si="2"/>
        <v>0</v>
      </c>
      <c r="O359" s="9">
        <f t="shared" si="3"/>
        <v>0</v>
      </c>
      <c r="P359" s="9">
        <v>0.0</v>
      </c>
      <c r="Q359" s="9">
        <v>0.0</v>
      </c>
      <c r="R359" s="9">
        <v>0.0</v>
      </c>
      <c r="S359" s="9">
        <v>0.0</v>
      </c>
      <c r="T359" s="9">
        <v>0.0</v>
      </c>
      <c r="U359" s="9">
        <v>0.0</v>
      </c>
      <c r="V359" s="9">
        <v>0.0</v>
      </c>
      <c r="W359" s="9">
        <v>0.0</v>
      </c>
      <c r="X359" s="9">
        <v>0.0</v>
      </c>
      <c r="Y359" s="9">
        <v>0.0</v>
      </c>
      <c r="Z359" s="9">
        <v>0.0</v>
      </c>
      <c r="AA359" s="9">
        <v>0.0</v>
      </c>
      <c r="AB359" s="9">
        <v>0.0</v>
      </c>
      <c r="AC359" s="9">
        <v>0.0</v>
      </c>
      <c r="AD359" s="9">
        <v>0.0</v>
      </c>
      <c r="AE359" s="9">
        <v>0.0</v>
      </c>
      <c r="AF359" s="9">
        <v>0.0</v>
      </c>
      <c r="AG359" s="9">
        <v>0.0</v>
      </c>
      <c r="AH359" s="9">
        <v>0.0</v>
      </c>
      <c r="AI359" s="9">
        <v>0.0</v>
      </c>
      <c r="AJ359" s="9">
        <v>0.0</v>
      </c>
      <c r="AK359" s="9">
        <v>0.0</v>
      </c>
      <c r="AL359" s="9">
        <v>0.0</v>
      </c>
      <c r="AM359" s="9">
        <v>0.0</v>
      </c>
      <c r="AN359" s="9">
        <v>0.0</v>
      </c>
      <c r="AO359" s="9">
        <v>0.0</v>
      </c>
      <c r="AP359" s="9">
        <v>0.0</v>
      </c>
      <c r="AQ359" s="9">
        <v>0.0</v>
      </c>
      <c r="AR359" s="9">
        <v>0.0</v>
      </c>
      <c r="AS359" s="9">
        <v>0.0</v>
      </c>
      <c r="AT359" s="9">
        <v>0.0</v>
      </c>
      <c r="AU359" s="9">
        <v>0.0</v>
      </c>
      <c r="AV359" s="9">
        <v>0.0</v>
      </c>
      <c r="AW359" s="9">
        <v>0.0</v>
      </c>
    </row>
    <row r="360" ht="15.0" customHeight="1">
      <c r="A360" s="5" t="s">
        <v>776</v>
      </c>
      <c r="B360" s="5" t="s">
        <v>777</v>
      </c>
      <c r="C360" s="5" t="s">
        <v>773</v>
      </c>
      <c r="D360" s="5" t="s">
        <v>83</v>
      </c>
      <c r="E360" s="5">
        <v>4.5</v>
      </c>
      <c r="F360" s="6">
        <v>0.7741935484</v>
      </c>
      <c r="G360" s="10">
        <v>82.0</v>
      </c>
      <c r="H360" s="5">
        <v>2110.0</v>
      </c>
      <c r="I360" s="5" t="b">
        <v>1</v>
      </c>
      <c r="J360" s="5" t="b">
        <v>0</v>
      </c>
      <c r="K360" s="7">
        <v>67.150967742784</v>
      </c>
      <c r="L360" s="8">
        <v>0.09687754161735275</v>
      </c>
      <c r="M360" s="9">
        <f t="shared" si="1"/>
        <v>3.24571991</v>
      </c>
      <c r="N360" s="7">
        <f t="shared" si="2"/>
        <v>110.354477</v>
      </c>
      <c r="O360" s="9">
        <f t="shared" si="3"/>
        <v>24.5232171</v>
      </c>
      <c r="P360" s="9">
        <v>2.726503117210484</v>
      </c>
      <c r="Q360" s="9">
        <v>3.226247332675001</v>
      </c>
      <c r="R360" s="9">
        <v>3.298458015164396</v>
      </c>
      <c r="S360" s="9">
        <v>2.583008096019285</v>
      </c>
      <c r="T360" s="9">
        <v>3.897196919338494</v>
      </c>
      <c r="U360" s="9">
        <v>2.631898723123459</v>
      </c>
      <c r="V360" s="9">
        <v>4.117912372707019</v>
      </c>
      <c r="W360" s="9">
        <v>3.043883342700275</v>
      </c>
      <c r="X360" s="9">
        <v>2.87009625465494</v>
      </c>
      <c r="Y360" s="9">
        <v>3.30439879723199</v>
      </c>
      <c r="Z360" s="9">
        <v>3.293062815722138</v>
      </c>
      <c r="AA360" s="9">
        <v>3.71290708235098</v>
      </c>
      <c r="AB360" s="9">
        <v>2.800010376170238</v>
      </c>
      <c r="AC360" s="9">
        <v>3.385683866498899</v>
      </c>
      <c r="AD360" s="9">
        <v>3.796056194652676</v>
      </c>
      <c r="AE360" s="9">
        <v>3.504482516359321</v>
      </c>
      <c r="AF360" s="9">
        <v>2.752356874598913</v>
      </c>
      <c r="AG360" s="9">
        <v>3.612283620575758</v>
      </c>
      <c r="AH360" s="9">
        <v>3.910697747557254</v>
      </c>
      <c r="AI360" s="9">
        <v>2.497402424690576</v>
      </c>
      <c r="AJ360" s="9">
        <v>3.922209435567214</v>
      </c>
      <c r="AK360" s="9">
        <v>3.285973968770128</v>
      </c>
      <c r="AL360" s="9">
        <v>2.872309414970067</v>
      </c>
      <c r="AM360" s="9">
        <v>3.069069157153044</v>
      </c>
      <c r="AN360" s="9">
        <v>3.293049344003759</v>
      </c>
      <c r="AO360" s="9">
        <v>3.486767702321745</v>
      </c>
      <c r="AP360" s="9">
        <v>4.140916477441617</v>
      </c>
      <c r="AQ360" s="9">
        <v>3.135256415837524</v>
      </c>
      <c r="AR360" s="9">
        <v>2.999756005885065</v>
      </c>
      <c r="AS360" s="9">
        <v>2.808124369282443</v>
      </c>
      <c r="AT360" s="9">
        <v>2.749575152741153</v>
      </c>
      <c r="AU360" s="9">
        <v>3.229620795648072</v>
      </c>
      <c r="AV360" s="9">
        <v>3.20154180029032</v>
      </c>
      <c r="AW360" s="9">
        <v>3.195760423528824</v>
      </c>
    </row>
    <row r="361" ht="15.0" customHeight="1">
      <c r="A361" s="5" t="s">
        <v>778</v>
      </c>
      <c r="B361" s="5" t="s">
        <v>779</v>
      </c>
      <c r="C361" s="5" t="s">
        <v>773</v>
      </c>
      <c r="D361" s="5" t="s">
        <v>83</v>
      </c>
      <c r="E361" s="5">
        <v>4.5</v>
      </c>
      <c r="F361" s="6">
        <v>0.9166666667</v>
      </c>
      <c r="G361" s="10">
        <v>81.0</v>
      </c>
      <c r="H361" s="5">
        <v>2874.0</v>
      </c>
      <c r="I361" s="5" t="b">
        <v>1</v>
      </c>
      <c r="J361" s="5" t="b">
        <v>0</v>
      </c>
      <c r="K361" s="7">
        <v>75.603333335492</v>
      </c>
      <c r="L361" s="8">
        <v>0.06207593020908013</v>
      </c>
      <c r="M361" s="9">
        <f t="shared" si="1"/>
        <v>2.975704248</v>
      </c>
      <c r="N361" s="7">
        <f t="shared" si="2"/>
        <v>101.1739444</v>
      </c>
      <c r="O361" s="9">
        <f t="shared" si="3"/>
        <v>22.48309876</v>
      </c>
      <c r="P361" s="9">
        <v>2.547772775361806</v>
      </c>
      <c r="Q361" s="9">
        <v>2.945860908574259</v>
      </c>
      <c r="R361" s="9">
        <v>3.001339234897487</v>
      </c>
      <c r="S361" s="9">
        <v>2.427290390462123</v>
      </c>
      <c r="T361" s="9">
        <v>3.522535402974492</v>
      </c>
      <c r="U361" s="9">
        <v>2.48176910045953</v>
      </c>
      <c r="V361" s="9">
        <v>3.739011221693133</v>
      </c>
      <c r="W361" s="9">
        <v>2.773336032319323</v>
      </c>
      <c r="X361" s="9">
        <v>2.642953530749705</v>
      </c>
      <c r="Y361" s="9">
        <v>3.004572311160308</v>
      </c>
      <c r="Z361" s="9">
        <v>3.009399249156229</v>
      </c>
      <c r="AA361" s="9">
        <v>3.38031624546939</v>
      </c>
      <c r="AB361" s="9">
        <v>2.606084212874829</v>
      </c>
      <c r="AC361" s="9">
        <v>3.107765168891486</v>
      </c>
      <c r="AD361" s="9">
        <v>3.438896063194423</v>
      </c>
      <c r="AE361" s="9">
        <v>3.222081328111214</v>
      </c>
      <c r="AF361" s="9">
        <v>2.546299382782552</v>
      </c>
      <c r="AG361" s="9">
        <v>3.236320501883908</v>
      </c>
      <c r="AH361" s="9">
        <v>3.518331633875422</v>
      </c>
      <c r="AI361" s="9">
        <v>2.338312610884206</v>
      </c>
      <c r="AJ361" s="9">
        <v>3.511796998217608</v>
      </c>
      <c r="AK361" s="9">
        <v>3.015515191840475</v>
      </c>
      <c r="AL361" s="9">
        <v>2.675466286600762</v>
      </c>
      <c r="AM361" s="9">
        <v>2.853219242789654</v>
      </c>
      <c r="AN361" s="9">
        <v>3.018899050787692</v>
      </c>
      <c r="AO361" s="9">
        <v>3.212014194011138</v>
      </c>
      <c r="AP361" s="9">
        <v>3.751854469646792</v>
      </c>
      <c r="AQ361" s="9">
        <v>2.896794831815138</v>
      </c>
      <c r="AR361" s="9">
        <v>2.77660285413356</v>
      </c>
      <c r="AS361" s="9">
        <v>2.594920439798905</v>
      </c>
      <c r="AT361" s="9">
        <v>2.550971504373694</v>
      </c>
      <c r="AU361" s="9">
        <v>2.939323727503711</v>
      </c>
      <c r="AV361" s="9">
        <v>2.944499953123157</v>
      </c>
      <c r="AW361" s="9">
        <v>2.94181837237831</v>
      </c>
    </row>
    <row r="362" ht="15.0" customHeight="1">
      <c r="A362" s="5" t="s">
        <v>780</v>
      </c>
      <c r="B362" s="5" t="s">
        <v>781</v>
      </c>
      <c r="C362" s="5" t="s">
        <v>773</v>
      </c>
      <c r="D362" s="5" t="s">
        <v>83</v>
      </c>
      <c r="E362" s="5">
        <v>4.5</v>
      </c>
      <c r="F362" s="6">
        <v>0.7714285714</v>
      </c>
      <c r="G362" s="5">
        <v>79.0</v>
      </c>
      <c r="H362" s="5">
        <v>2447.0</v>
      </c>
      <c r="I362" s="5" t="b">
        <v>1</v>
      </c>
      <c r="J362" s="5" t="b">
        <v>0</v>
      </c>
      <c r="K362" s="7">
        <v>64.654857141064</v>
      </c>
      <c r="L362" s="8">
        <v>0.05533233980137776</v>
      </c>
      <c r="M362" s="9">
        <f t="shared" si="1"/>
        <v>2.698633441</v>
      </c>
      <c r="N362" s="7">
        <f t="shared" si="2"/>
        <v>91.75353699</v>
      </c>
      <c r="O362" s="9">
        <f t="shared" si="3"/>
        <v>20.38967489</v>
      </c>
      <c r="P362" s="9">
        <v>2.261015877137988</v>
      </c>
      <c r="Q362" s="9">
        <v>2.670801416079672</v>
      </c>
      <c r="R362" s="9">
        <v>2.728321740005298</v>
      </c>
      <c r="S362" s="9">
        <v>2.138237983787476</v>
      </c>
      <c r="T362" s="9">
        <v>3.255915096305759</v>
      </c>
      <c r="U362" s="9">
        <v>2.191187144911565</v>
      </c>
      <c r="V362" s="9">
        <v>3.470558295972507</v>
      </c>
      <c r="W362" s="9">
        <v>2.498700004678875</v>
      </c>
      <c r="X362" s="9">
        <v>2.362863365023303</v>
      </c>
      <c r="Y362" s="9">
        <v>2.731951955527211</v>
      </c>
      <c r="Z362" s="9">
        <v>2.734128183408109</v>
      </c>
      <c r="AA362" s="9">
        <v>3.108593355810192</v>
      </c>
      <c r="AB362" s="9">
        <v>2.321089757234604</v>
      </c>
      <c r="AC362" s="9">
        <v>2.830429868087327</v>
      </c>
      <c r="AD362" s="9">
        <v>3.170437245631166</v>
      </c>
      <c r="AE362" s="9">
        <v>2.94413843658973</v>
      </c>
      <c r="AF362" s="9">
        <v>2.263946480787538</v>
      </c>
      <c r="AG362" s="9">
        <v>2.973232011068183</v>
      </c>
      <c r="AH362" s="9">
        <v>3.254602291628541</v>
      </c>
      <c r="AI362" s="9">
        <v>2.050834541092164</v>
      </c>
      <c r="AJ362" s="9">
        <v>3.251040539154988</v>
      </c>
      <c r="AK362" s="9">
        <v>2.73805332646147</v>
      </c>
      <c r="AL362" s="9">
        <v>2.390134593659944</v>
      </c>
      <c r="AM362" s="9">
        <v>2.568875096237392</v>
      </c>
      <c r="AN362" s="9">
        <v>2.741990507499686</v>
      </c>
      <c r="AO362" s="9">
        <v>2.932960479057348</v>
      </c>
      <c r="AP362" s="9">
        <v>3.484883583625893</v>
      </c>
      <c r="AQ362" s="9">
        <v>2.615574689764518</v>
      </c>
      <c r="AR362" s="9">
        <v>2.494320605786347</v>
      </c>
      <c r="AS362" s="9">
        <v>2.313150296515216</v>
      </c>
      <c r="AT362" s="9">
        <v>2.267367777759062</v>
      </c>
      <c r="AU362" s="9">
        <v>2.665931108275782</v>
      </c>
      <c r="AV362" s="9">
        <v>2.6657087019666</v>
      </c>
      <c r="AW362" s="9">
        <v>2.662560636121323</v>
      </c>
    </row>
    <row r="363" ht="15.0" customHeight="1">
      <c r="A363" s="5" t="s">
        <v>782</v>
      </c>
      <c r="B363" s="5" t="s">
        <v>783</v>
      </c>
      <c r="C363" s="5" t="s">
        <v>773</v>
      </c>
      <c r="D363" s="5" t="s">
        <v>83</v>
      </c>
      <c r="E363" s="5">
        <v>4.5</v>
      </c>
      <c r="F363" s="6">
        <v>0.9189189189</v>
      </c>
      <c r="G363" s="10">
        <v>86.0</v>
      </c>
      <c r="H363" s="5">
        <v>3232.0</v>
      </c>
      <c r="I363" s="5" t="b">
        <v>1</v>
      </c>
      <c r="J363" s="5" t="b">
        <v>0</v>
      </c>
      <c r="K363" s="7">
        <v>80.343783782464</v>
      </c>
      <c r="L363" s="8">
        <v>0.07448899260522408</v>
      </c>
      <c r="M363" s="9">
        <f t="shared" si="1"/>
        <v>3.245925891</v>
      </c>
      <c r="N363" s="7">
        <f t="shared" si="2"/>
        <v>110.3614803</v>
      </c>
      <c r="O363" s="9">
        <f t="shared" si="3"/>
        <v>24.5247734</v>
      </c>
      <c r="P363" s="9">
        <v>2.7617568629805</v>
      </c>
      <c r="Q363" s="9">
        <v>3.223259482810819</v>
      </c>
      <c r="R363" s="9">
        <v>3.289276568160223</v>
      </c>
      <c r="S363" s="9">
        <v>2.627223786930107</v>
      </c>
      <c r="T363" s="9">
        <v>3.856660508603918</v>
      </c>
      <c r="U363" s="9">
        <v>2.677449758260181</v>
      </c>
      <c r="V363" s="9">
        <v>4.073773971617204</v>
      </c>
      <c r="W363" s="9">
        <v>3.045942384697966</v>
      </c>
      <c r="X363" s="9">
        <v>2.888085926476861</v>
      </c>
      <c r="Y363" s="9">
        <v>3.294272761474573</v>
      </c>
      <c r="Z363" s="9">
        <v>3.288332978757728</v>
      </c>
      <c r="AA363" s="9">
        <v>3.687970821140159</v>
      </c>
      <c r="AB363" s="9">
        <v>2.829559674957713</v>
      </c>
      <c r="AC363" s="9">
        <v>3.381901479879458</v>
      </c>
      <c r="AD363" s="9">
        <v>3.762255226357915</v>
      </c>
      <c r="AE363" s="9">
        <v>3.498042203247035</v>
      </c>
      <c r="AF363" s="9">
        <v>2.77841994293953</v>
      </c>
      <c r="AG363" s="9">
        <v>3.574182879058861</v>
      </c>
      <c r="AH363" s="9">
        <v>3.864239547887754</v>
      </c>
      <c r="AI363" s="9">
        <v>2.541375683340617</v>
      </c>
      <c r="AJ363" s="9">
        <v>3.869737738638616</v>
      </c>
      <c r="AK363" s="9">
        <v>3.285630905633568</v>
      </c>
      <c r="AL363" s="9">
        <v>2.900179374725971</v>
      </c>
      <c r="AM363" s="9">
        <v>3.088751486793968</v>
      </c>
      <c r="AN363" s="9">
        <v>3.291428769802339</v>
      </c>
      <c r="AO363" s="9">
        <v>3.483004693196012</v>
      </c>
      <c r="AP363" s="9">
        <v>4.093226301740307</v>
      </c>
      <c r="AQ363" s="9">
        <v>3.146884157785641</v>
      </c>
      <c r="AR363" s="9">
        <v>3.017747524683545</v>
      </c>
      <c r="AS363" s="9">
        <v>2.831291830001765</v>
      </c>
      <c r="AT363" s="9">
        <v>2.778102219450012</v>
      </c>
      <c r="AU363" s="9">
        <v>3.223360073797986</v>
      </c>
      <c r="AV363" s="9">
        <v>3.206431513239663</v>
      </c>
      <c r="AW363" s="9">
        <v>3.20172126740785</v>
      </c>
    </row>
    <row r="364" ht="15.0" customHeight="1">
      <c r="A364" s="5" t="s">
        <v>784</v>
      </c>
      <c r="B364" s="5" t="s">
        <v>785</v>
      </c>
      <c r="C364" s="5" t="s">
        <v>773</v>
      </c>
      <c r="D364" s="5" t="s">
        <v>83</v>
      </c>
      <c r="E364" s="5">
        <v>4.5</v>
      </c>
      <c r="F364" s="6">
        <v>0.5185185185</v>
      </c>
      <c r="G364" s="10">
        <v>72.0</v>
      </c>
      <c r="H364" s="5">
        <v>1410.0</v>
      </c>
      <c r="I364" s="5" t="b">
        <v>1</v>
      </c>
      <c r="J364" s="5" t="b">
        <v>0</v>
      </c>
      <c r="K364" s="7">
        <v>45.15259259155999</v>
      </c>
      <c r="L364" s="8">
        <v>0.05759314089944091</v>
      </c>
      <c r="M364" s="9">
        <f t="shared" si="1"/>
        <v>2.218276692</v>
      </c>
      <c r="N364" s="7">
        <f t="shared" si="2"/>
        <v>75.42140754</v>
      </c>
      <c r="O364" s="9">
        <f t="shared" si="3"/>
        <v>16.76031279</v>
      </c>
      <c r="P364" s="9">
        <v>1.745023858995269</v>
      </c>
      <c r="Q364" s="9">
        <v>2.195481568114526</v>
      </c>
      <c r="R364" s="9">
        <v>2.25982299806692</v>
      </c>
      <c r="S364" s="9">
        <v>1.613421237233442</v>
      </c>
      <c r="T364" s="9">
        <v>2.815700338263087</v>
      </c>
      <c r="U364" s="9">
        <v>1.663172619687804</v>
      </c>
      <c r="V364" s="9">
        <v>3.029521783065516</v>
      </c>
      <c r="W364" s="9">
        <v>2.021131640525454</v>
      </c>
      <c r="X364" s="9">
        <v>1.867430237775348</v>
      </c>
      <c r="Y364" s="9">
        <v>2.26462940769665</v>
      </c>
      <c r="Z364" s="9">
        <v>2.259480722463313</v>
      </c>
      <c r="AA364" s="9">
        <v>2.651262451523209</v>
      </c>
      <c r="AB364" s="9">
        <v>1.811192588420988</v>
      </c>
      <c r="AC364" s="9">
        <v>2.351961270575357</v>
      </c>
      <c r="AD364" s="9">
        <v>2.723410530889788</v>
      </c>
      <c r="AE364" s="9">
        <v>2.466244244100012</v>
      </c>
      <c r="AF364" s="9">
        <v>1.760254669200075</v>
      </c>
      <c r="AG364" s="9">
        <v>2.537207983615455</v>
      </c>
      <c r="AH364" s="9">
        <v>2.822397472449345</v>
      </c>
      <c r="AI364" s="9">
        <v>1.528654268628523</v>
      </c>
      <c r="AJ364" s="9">
        <v>2.827028605345396</v>
      </c>
      <c r="AK364" s="9">
        <v>2.257394186153325</v>
      </c>
      <c r="AL364" s="9">
        <v>1.88067431761748</v>
      </c>
      <c r="AM364" s="9">
        <v>2.06571770091995</v>
      </c>
      <c r="AN364" s="9">
        <v>2.262947815807344</v>
      </c>
      <c r="AO364" s="9">
        <v>2.451756015064753</v>
      </c>
      <c r="AP364" s="9">
        <v>3.048251865990334</v>
      </c>
      <c r="AQ364" s="9">
        <v>2.122030692473185</v>
      </c>
      <c r="AR364" s="9">
        <v>1.995410722963178</v>
      </c>
      <c r="AS364" s="9">
        <v>1.812057778579493</v>
      </c>
      <c r="AT364" s="9">
        <v>1.760267124662824</v>
      </c>
      <c r="AU364" s="9">
        <v>2.195147758163354</v>
      </c>
      <c r="AV364" s="9">
        <v>2.17991424305332</v>
      </c>
      <c r="AW364" s="9">
        <v>2.175406818172456</v>
      </c>
    </row>
    <row r="365" ht="15.0" customHeight="1">
      <c r="A365" s="5" t="s">
        <v>786</v>
      </c>
      <c r="B365" s="5" t="s">
        <v>787</v>
      </c>
      <c r="C365" s="5" t="s">
        <v>773</v>
      </c>
      <c r="D365" s="5" t="s">
        <v>83</v>
      </c>
      <c r="E365" s="5">
        <v>4.0</v>
      </c>
      <c r="F365" s="6"/>
      <c r="G365" s="10"/>
      <c r="H365" s="5">
        <v>3193.0</v>
      </c>
      <c r="I365" s="5" t="b">
        <v>0</v>
      </c>
      <c r="J365" s="5" t="b">
        <v>0</v>
      </c>
      <c r="K365" s="7">
        <v>16.24</v>
      </c>
      <c r="L365" s="8">
        <v>0.07156755215256426</v>
      </c>
      <c r="M365" s="9">
        <f t="shared" si="1"/>
        <v>1.100118088</v>
      </c>
      <c r="N365" s="7">
        <f t="shared" si="2"/>
        <v>37.404015</v>
      </c>
      <c r="O365" s="9">
        <f t="shared" si="3"/>
        <v>9.35100375</v>
      </c>
      <c r="P365" s="9">
        <v>1.083930596093319</v>
      </c>
      <c r="Q365" s="9">
        <v>1.102495760678818</v>
      </c>
      <c r="R365" s="9">
        <v>1.105620511792883</v>
      </c>
      <c r="S365" s="9">
        <v>1.079936318758605</v>
      </c>
      <c r="T365" s="9">
        <v>1.118288497547443</v>
      </c>
      <c r="U365" s="9">
        <v>1.078391545943314</v>
      </c>
      <c r="V365" s="9">
        <v>1.11769060552543</v>
      </c>
      <c r="W365" s="9">
        <v>1.101618767195852</v>
      </c>
      <c r="X365" s="9">
        <v>1.093420109808096</v>
      </c>
      <c r="Y365" s="9">
        <v>1.106165611404718</v>
      </c>
      <c r="Z365" s="9">
        <v>1.10274615772635</v>
      </c>
      <c r="AA365" s="9">
        <v>1.110450569567033</v>
      </c>
      <c r="AB365" s="9">
        <v>1.086713975868188</v>
      </c>
      <c r="AC365" s="9">
        <v>1.100867243181166</v>
      </c>
      <c r="AD365" s="9">
        <v>1.115195956357156</v>
      </c>
      <c r="AE365" s="9">
        <v>1.101021575934386</v>
      </c>
      <c r="AF365" s="9">
        <v>1.08966606067412</v>
      </c>
      <c r="AG365" s="9">
        <v>1.120526112718797</v>
      </c>
      <c r="AH365" s="9">
        <v>1.122026672142841</v>
      </c>
      <c r="AI365" s="9">
        <v>1.081253661681507</v>
      </c>
      <c r="AJ365" s="9">
        <v>1.125852444105521</v>
      </c>
      <c r="AK365" s="9">
        <v>1.099937616743118</v>
      </c>
      <c r="AL365" s="9">
        <v>1.086848793410136</v>
      </c>
      <c r="AM365" s="9">
        <v>1.089610627088963</v>
      </c>
      <c r="AN365" s="9">
        <v>1.100687800718573</v>
      </c>
      <c r="AO365" s="9">
        <v>1.099488412404338</v>
      </c>
      <c r="AP365" s="9">
        <v>1.119731249757732</v>
      </c>
      <c r="AQ365" s="9">
        <v>1.094048875756085</v>
      </c>
      <c r="AR365" s="9">
        <v>1.091666723306984</v>
      </c>
      <c r="AS365" s="9">
        <v>1.090829528905589</v>
      </c>
      <c r="AT365" s="9">
        <v>1.088072320566866</v>
      </c>
      <c r="AU365" s="9">
        <v>1.104617032476585</v>
      </c>
      <c r="AV365" s="9">
        <v>1.097614148843585</v>
      </c>
      <c r="AW365" s="9">
        <v>1.096983115750158</v>
      </c>
    </row>
    <row r="366" ht="15.0" customHeight="1">
      <c r="A366" s="5" t="s">
        <v>788</v>
      </c>
      <c r="B366" s="5" t="s">
        <v>789</v>
      </c>
      <c r="C366" s="5" t="s">
        <v>773</v>
      </c>
      <c r="D366" s="5" t="s">
        <v>52</v>
      </c>
      <c r="E366" s="5">
        <v>5.0</v>
      </c>
      <c r="F366" s="6">
        <v>0.1818181818</v>
      </c>
      <c r="G366" s="10">
        <v>60.0</v>
      </c>
      <c r="H366" s="5">
        <v>660.0</v>
      </c>
      <c r="I366" s="5" t="b">
        <v>0</v>
      </c>
      <c r="J366" s="5" t="b">
        <v>0</v>
      </c>
      <c r="K366" s="7">
        <v>29.68636363569</v>
      </c>
      <c r="L366" s="8">
        <v>0.05301506939131789</v>
      </c>
      <c r="M366" s="9">
        <f t="shared" si="1"/>
        <v>1.404732876</v>
      </c>
      <c r="N366" s="7">
        <f t="shared" si="2"/>
        <v>47.76091777</v>
      </c>
      <c r="O366" s="9">
        <f t="shared" si="3"/>
        <v>9.552183554</v>
      </c>
      <c r="P366" s="9">
        <v>1.302371583173603</v>
      </c>
      <c r="Q366" s="9">
        <v>1.419768041022358</v>
      </c>
      <c r="R366" s="9">
        <v>1.439527344030995</v>
      </c>
      <c r="S366" s="9">
        <v>1.277113847988898</v>
      </c>
      <c r="T366" s="9">
        <v>1.51963310602491</v>
      </c>
      <c r="U366" s="9">
        <v>1.267345507080256</v>
      </c>
      <c r="V366" s="9">
        <v>1.515852347430659</v>
      </c>
      <c r="W366" s="9">
        <v>1.414222389757993</v>
      </c>
      <c r="X366" s="9">
        <v>1.362378338927988</v>
      </c>
      <c r="Y366" s="9">
        <v>1.442974270844352</v>
      </c>
      <c r="Z366" s="9">
        <v>1.421351421891442</v>
      </c>
      <c r="AA366" s="9">
        <v>1.470070120599376</v>
      </c>
      <c r="AB366" s="9">
        <v>1.319972231145918</v>
      </c>
      <c r="AC366" s="9">
        <v>1.409470142240551</v>
      </c>
      <c r="AD366" s="9">
        <v>1.500077481843983</v>
      </c>
      <c r="AE366" s="9">
        <v>1.410446062409455</v>
      </c>
      <c r="AF366" s="9">
        <v>1.33863968210707</v>
      </c>
      <c r="AG366" s="9">
        <v>1.533782622121891</v>
      </c>
      <c r="AH366" s="9">
        <v>1.543271380509303</v>
      </c>
      <c r="AI366" s="9">
        <v>1.285444040388142</v>
      </c>
      <c r="AJ366" s="9">
        <v>1.567463575245165</v>
      </c>
      <c r="AK366" s="9">
        <v>1.403591667506496</v>
      </c>
      <c r="AL366" s="9">
        <v>1.320824747255199</v>
      </c>
      <c r="AM366" s="9">
        <v>1.338289148907467</v>
      </c>
      <c r="AN366" s="9">
        <v>1.40833544131188</v>
      </c>
      <c r="AO366" s="9">
        <v>1.400751132590675</v>
      </c>
      <c r="AP366" s="9">
        <v>1.528756321618361</v>
      </c>
      <c r="AQ366" s="9">
        <v>1.366354328193792</v>
      </c>
      <c r="AR366" s="9">
        <v>1.351290833426896</v>
      </c>
      <c r="AS366" s="9">
        <v>1.345996850882223</v>
      </c>
      <c r="AT366" s="9">
        <v>1.328561697478308</v>
      </c>
      <c r="AU366" s="9">
        <v>1.433181862055046</v>
      </c>
      <c r="AV366" s="9">
        <v>1.388899263349547</v>
      </c>
      <c r="AW366" s="9">
        <v>1.384908937833577</v>
      </c>
    </row>
    <row r="367" ht="15.0" customHeight="1">
      <c r="A367" s="5" t="s">
        <v>790</v>
      </c>
      <c r="B367" s="5" t="s">
        <v>791</v>
      </c>
      <c r="C367" s="5" t="s">
        <v>773</v>
      </c>
      <c r="D367" s="5" t="s">
        <v>52</v>
      </c>
      <c r="E367" s="5">
        <v>5.0</v>
      </c>
      <c r="F367" s="6">
        <v>0.2368421053</v>
      </c>
      <c r="G367" s="5">
        <v>66.0</v>
      </c>
      <c r="H367" s="5">
        <v>1158.0</v>
      </c>
      <c r="I367" s="5" t="b">
        <v>0</v>
      </c>
      <c r="J367" s="5" t="b">
        <v>0</v>
      </c>
      <c r="K367" s="7">
        <v>33.146052633165</v>
      </c>
      <c r="L367" s="8">
        <v>0.0752592919727024</v>
      </c>
      <c r="M367" s="9">
        <f t="shared" si="1"/>
        <v>1.18946082</v>
      </c>
      <c r="N367" s="7">
        <f t="shared" si="2"/>
        <v>40.44166787</v>
      </c>
      <c r="O367" s="9">
        <f t="shared" si="3"/>
        <v>8.088333573</v>
      </c>
      <c r="P367" s="9">
        <v>1.120502052564293</v>
      </c>
      <c r="Q367" s="9">
        <v>1.199589711598809</v>
      </c>
      <c r="R367" s="9">
        <v>1.212901161090071</v>
      </c>
      <c r="S367" s="9">
        <v>1.10348641866122</v>
      </c>
      <c r="T367" s="9">
        <v>1.266866819912903</v>
      </c>
      <c r="U367" s="9">
        <v>1.096905681650305</v>
      </c>
      <c r="V367" s="9">
        <v>1.264319798034447</v>
      </c>
      <c r="W367" s="9">
        <v>1.195853716626239</v>
      </c>
      <c r="X367" s="9">
        <v>1.160927410584758</v>
      </c>
      <c r="Y367" s="9">
        <v>1.215223287136522</v>
      </c>
      <c r="Z367" s="9">
        <v>1.200656403802225</v>
      </c>
      <c r="AA367" s="9">
        <v>1.233477222271743</v>
      </c>
      <c r="AB367" s="9">
        <v>1.132359259085928</v>
      </c>
      <c r="AC367" s="9">
        <v>1.192652221979857</v>
      </c>
      <c r="AD367" s="9">
        <v>1.253692584797386</v>
      </c>
      <c r="AE367" s="9">
        <v>1.193309679989899</v>
      </c>
      <c r="AF367" s="9">
        <v>1.14493514956604</v>
      </c>
      <c r="AG367" s="9">
        <v>1.276399067521456</v>
      </c>
      <c r="AH367" s="9">
        <v>1.282791455347768</v>
      </c>
      <c r="AI367" s="9">
        <v>1.109098303621259</v>
      </c>
      <c r="AJ367" s="9">
        <v>1.299089255840449</v>
      </c>
      <c r="AK367" s="9">
        <v>1.188692010454489</v>
      </c>
      <c r="AL367" s="9">
        <v>1.132933582235091</v>
      </c>
      <c r="AM367" s="9">
        <v>1.144699002320387</v>
      </c>
      <c r="AN367" s="9">
        <v>1.191887796529572</v>
      </c>
      <c r="AO367" s="9">
        <v>1.186778398570326</v>
      </c>
      <c r="AP367" s="9">
        <v>1.273012948828331</v>
      </c>
      <c r="AQ367" s="9">
        <v>1.163605955484161</v>
      </c>
      <c r="AR367" s="9">
        <v>1.153457978621629</v>
      </c>
      <c r="AS367" s="9">
        <v>1.149891527860676</v>
      </c>
      <c r="AT367" s="9">
        <v>1.138145811738646</v>
      </c>
      <c r="AU367" s="9">
        <v>1.208626336073033</v>
      </c>
      <c r="AV367" s="9">
        <v>1.178794029956141</v>
      </c>
      <c r="AW367" s="9">
        <v>1.176105827010101</v>
      </c>
    </row>
    <row r="368" ht="15.0" customHeight="1">
      <c r="A368" s="5" t="s">
        <v>792</v>
      </c>
      <c r="B368" s="5" t="s">
        <v>793</v>
      </c>
      <c r="C368" s="5" t="s">
        <v>773</v>
      </c>
      <c r="D368" s="5" t="s">
        <v>52</v>
      </c>
      <c r="E368" s="5">
        <v>5.5</v>
      </c>
      <c r="F368" s="6">
        <v>0.9473684211</v>
      </c>
      <c r="G368" s="5">
        <v>87.0</v>
      </c>
      <c r="H368" s="5">
        <v>3339.0</v>
      </c>
      <c r="I368" s="5" t="b">
        <v>1</v>
      </c>
      <c r="J368" s="5" t="b">
        <v>0</v>
      </c>
      <c r="K368" s="7">
        <v>83.628947371455</v>
      </c>
      <c r="L368" s="8">
        <v>0.08691998587846902</v>
      </c>
      <c r="M368" s="9">
        <f t="shared" si="1"/>
        <v>2.99070192</v>
      </c>
      <c r="N368" s="7">
        <f t="shared" si="2"/>
        <v>101.6838653</v>
      </c>
      <c r="O368" s="9">
        <f t="shared" si="3"/>
        <v>18.4879755</v>
      </c>
      <c r="P368" s="9">
        <v>2.706160757876093</v>
      </c>
      <c r="Q368" s="9">
        <v>3.008779329591436</v>
      </c>
      <c r="R368" s="9">
        <v>3.056765219850623</v>
      </c>
      <c r="S368" s="9">
        <v>2.632140426773701</v>
      </c>
      <c r="T368" s="9">
        <v>3.327107108775936</v>
      </c>
      <c r="U368" s="9">
        <v>2.629373120212339</v>
      </c>
      <c r="V368" s="9">
        <v>3.376026252871574</v>
      </c>
      <c r="W368" s="9">
        <v>2.955155150288642</v>
      </c>
      <c r="X368" s="9">
        <v>2.833134634134424</v>
      </c>
      <c r="Y368" s="9">
        <v>3.063487244989071</v>
      </c>
      <c r="Z368" s="9">
        <v>3.027743345422769</v>
      </c>
      <c r="AA368" s="9">
        <v>3.205959229630947</v>
      </c>
      <c r="AB368" s="9">
        <v>2.751179815448662</v>
      </c>
      <c r="AC368" s="9">
        <v>3.032590997819908</v>
      </c>
      <c r="AD368" s="9">
        <v>3.272264606206355</v>
      </c>
      <c r="AE368" s="9">
        <v>3.063507552422482</v>
      </c>
      <c r="AF368" s="9">
        <v>2.767808599938157</v>
      </c>
      <c r="AG368" s="9">
        <v>3.278077753201047</v>
      </c>
      <c r="AH368" s="9">
        <v>3.366457175796615</v>
      </c>
      <c r="AI368" s="9">
        <v>2.6236217295363</v>
      </c>
      <c r="AJ368" s="9">
        <v>3.406158196009903</v>
      </c>
      <c r="AK368" s="9">
        <v>2.998935803992204</v>
      </c>
      <c r="AL368" s="9">
        <v>2.770389031831442</v>
      </c>
      <c r="AM368" s="9">
        <v>2.845733957295804</v>
      </c>
      <c r="AN368" s="9">
        <v>3.00791424225823</v>
      </c>
      <c r="AO368" s="9">
        <v>3.04435186694442</v>
      </c>
      <c r="AP368" s="9">
        <v>3.401380229893927</v>
      </c>
      <c r="AQ368" s="9">
        <v>2.904879060460348</v>
      </c>
      <c r="AR368" s="9">
        <v>2.848366967521393</v>
      </c>
      <c r="AS368" s="9">
        <v>2.79283024809436</v>
      </c>
      <c r="AT368" s="9">
        <v>2.751768832594607</v>
      </c>
      <c r="AU368" s="9">
        <v>3.030046790196322</v>
      </c>
      <c r="AV368" s="9">
        <v>2.955640111071637</v>
      </c>
      <c r="AW368" s="9">
        <v>2.948129877921661</v>
      </c>
    </row>
    <row r="369" ht="15.0" customHeight="1">
      <c r="A369" s="5" t="s">
        <v>794</v>
      </c>
      <c r="B369" s="5" t="s">
        <v>795</v>
      </c>
      <c r="C369" s="5" t="s">
        <v>773</v>
      </c>
      <c r="D369" s="5" t="s">
        <v>52</v>
      </c>
      <c r="E369" s="5">
        <v>5.0</v>
      </c>
      <c r="F369" s="6">
        <v>0.02631578947</v>
      </c>
      <c r="G369" s="5">
        <v>55.0</v>
      </c>
      <c r="H369" s="5">
        <v>339.0</v>
      </c>
      <c r="I369" s="5" t="b">
        <v>0</v>
      </c>
      <c r="J369" s="5" t="b">
        <v>0</v>
      </c>
      <c r="K369" s="7">
        <v>23.7934210525135</v>
      </c>
      <c r="L369" s="8">
        <v>0.07575546265353433</v>
      </c>
      <c r="M369" s="9">
        <f t="shared" si="1"/>
        <v>1.300924966</v>
      </c>
      <c r="N369" s="7">
        <f t="shared" si="2"/>
        <v>44.23144883</v>
      </c>
      <c r="O369" s="9">
        <f t="shared" si="3"/>
        <v>8.846289765</v>
      </c>
      <c r="P369" s="9">
        <v>1.213045445215722</v>
      </c>
      <c r="Q369" s="9">
        <v>1.313833000349509</v>
      </c>
      <c r="R369" s="9">
        <v>1.330796815765081</v>
      </c>
      <c r="S369" s="9">
        <v>1.191361099502646</v>
      </c>
      <c r="T369" s="9">
        <v>1.399569452107288</v>
      </c>
      <c r="U369" s="9">
        <v>1.182974754497554</v>
      </c>
      <c r="V369" s="9">
        <v>1.396323584027039</v>
      </c>
      <c r="W369" s="9">
        <v>1.30907193138029</v>
      </c>
      <c r="X369" s="9">
        <v>1.264562623117175</v>
      </c>
      <c r="Y369" s="9">
        <v>1.333756081594812</v>
      </c>
      <c r="Z369" s="9">
        <v>1.315192369188782</v>
      </c>
      <c r="AA369" s="9">
        <v>1.357018490879764</v>
      </c>
      <c r="AB369" s="9">
        <v>1.228156005707977</v>
      </c>
      <c r="AC369" s="9">
        <v>1.304992017748734</v>
      </c>
      <c r="AD369" s="9">
        <v>1.382780499642896</v>
      </c>
      <c r="AE369" s="9">
        <v>1.305829867626252</v>
      </c>
      <c r="AF369" s="9">
        <v>1.244182441065834</v>
      </c>
      <c r="AG369" s="9">
        <v>1.411717136627533</v>
      </c>
      <c r="AH369" s="9">
        <v>1.419863453617391</v>
      </c>
      <c r="AI369" s="9">
        <v>1.198512760984592</v>
      </c>
      <c r="AJ369" s="9">
        <v>1.440633008384446</v>
      </c>
      <c r="AK369" s="9">
        <v>1.299945212187321</v>
      </c>
      <c r="AL369" s="9">
        <v>1.228887910366271</v>
      </c>
      <c r="AM369" s="9">
        <v>1.243881500263798</v>
      </c>
      <c r="AN369" s="9">
        <v>1.304017850942474</v>
      </c>
      <c r="AO369" s="9">
        <v>1.297506547727729</v>
      </c>
      <c r="AP369" s="9">
        <v>1.40740194221365</v>
      </c>
      <c r="AQ369" s="9">
        <v>1.267976101212527</v>
      </c>
      <c r="AR369" s="9">
        <v>1.255043745014166</v>
      </c>
      <c r="AS369" s="9">
        <v>1.250498739420505</v>
      </c>
      <c r="AT369" s="9">
        <v>1.23553025981589</v>
      </c>
      <c r="AU369" s="9">
        <v>1.325349073761439</v>
      </c>
      <c r="AV369" s="9">
        <v>1.287331445799888</v>
      </c>
      <c r="AW369" s="9">
        <v>1.28390565970453</v>
      </c>
    </row>
    <row r="370" ht="15.0" customHeight="1">
      <c r="A370" s="5" t="s">
        <v>796</v>
      </c>
      <c r="B370" s="5" t="s">
        <v>797</v>
      </c>
      <c r="C370" s="5" t="s">
        <v>773</v>
      </c>
      <c r="D370" s="5" t="s">
        <v>52</v>
      </c>
      <c r="E370" s="5">
        <v>5.5</v>
      </c>
      <c r="F370" s="6">
        <v>0.6052631579</v>
      </c>
      <c r="G370" s="5">
        <v>71.0</v>
      </c>
      <c r="H370" s="5">
        <v>2241.0</v>
      </c>
      <c r="I370" s="5" t="b">
        <v>1</v>
      </c>
      <c r="J370" s="5" t="b">
        <v>0</v>
      </c>
      <c r="K370" s="7">
        <v>52.032894737095</v>
      </c>
      <c r="L370" s="8">
        <v>0.06356777576072453</v>
      </c>
      <c r="M370" s="9">
        <f t="shared" si="1"/>
        <v>2.115521162</v>
      </c>
      <c r="N370" s="7">
        <f t="shared" si="2"/>
        <v>71.9277195</v>
      </c>
      <c r="O370" s="9">
        <f t="shared" si="3"/>
        <v>13.07776718</v>
      </c>
      <c r="P370" s="9">
        <v>1.811089375817356</v>
      </c>
      <c r="Q370" s="9">
        <v>2.137029725235943</v>
      </c>
      <c r="R370" s="9">
        <v>2.189004315085327</v>
      </c>
      <c r="S370" s="9">
        <v>1.732242863845616</v>
      </c>
      <c r="T370" s="9">
        <v>2.473888088513752</v>
      </c>
      <c r="U370" s="9">
        <v>1.7270534572425</v>
      </c>
      <c r="V370" s="9">
        <v>2.520795750671158</v>
      </c>
      <c r="W370" s="9">
        <v>2.08314882787406</v>
      </c>
      <c r="X370" s="9">
        <v>1.950579400160951</v>
      </c>
      <c r="Y370" s="9">
        <v>2.196457578428904</v>
      </c>
      <c r="Z370" s="9">
        <v>2.1559885468116</v>
      </c>
      <c r="AA370" s="9">
        <v>2.342752032585318</v>
      </c>
      <c r="AB370" s="9">
        <v>1.8596124886871</v>
      </c>
      <c r="AC370" s="9">
        <v>2.157713721461637</v>
      </c>
      <c r="AD370" s="9">
        <v>2.41525594167947</v>
      </c>
      <c r="AE370" s="9">
        <v>2.188213964769833</v>
      </c>
      <c r="AF370" s="9">
        <v>1.880626297794113</v>
      </c>
      <c r="AG370" s="9">
        <v>2.429506667867456</v>
      </c>
      <c r="AH370" s="9">
        <v>2.518397809821458</v>
      </c>
      <c r="AI370" s="9">
        <v>1.72602339560683</v>
      </c>
      <c r="AJ370" s="9">
        <v>2.563391662397736</v>
      </c>
      <c r="AK370" s="9">
        <v>2.123288230139029</v>
      </c>
      <c r="AL370" s="9">
        <v>1.878625573436088</v>
      </c>
      <c r="AM370" s="9">
        <v>1.956788398247836</v>
      </c>
      <c r="AN370" s="9">
        <v>2.133278879882133</v>
      </c>
      <c r="AO370" s="9">
        <v>2.167006928959198</v>
      </c>
      <c r="AP370" s="9">
        <v>2.54888313672632</v>
      </c>
      <c r="AQ370" s="9">
        <v>2.021792477631997</v>
      </c>
      <c r="AR370" s="9">
        <v>1.962667794310931</v>
      </c>
      <c r="AS370" s="9">
        <v>1.906979381348113</v>
      </c>
      <c r="AT370" s="9">
        <v>1.862370923914396</v>
      </c>
      <c r="AU370" s="9">
        <v>2.161247914465553</v>
      </c>
      <c r="AV370" s="9">
        <v>2.077190267785823</v>
      </c>
      <c r="AW370" s="9">
        <v>2.06882768556795</v>
      </c>
    </row>
    <row r="371" ht="15.0" customHeight="1">
      <c r="A371" s="5" t="s">
        <v>798</v>
      </c>
      <c r="B371" s="5" t="s">
        <v>799</v>
      </c>
      <c r="C371" s="5" t="s">
        <v>773</v>
      </c>
      <c r="D371" s="5" t="s">
        <v>52</v>
      </c>
      <c r="E371" s="5">
        <v>6.0</v>
      </c>
      <c r="F371" s="6">
        <v>0.7631578947</v>
      </c>
      <c r="G371" s="5">
        <v>81.0</v>
      </c>
      <c r="H371" s="5">
        <v>2708.0</v>
      </c>
      <c r="I371" s="5" t="b">
        <v>1</v>
      </c>
      <c r="J371" s="5" t="b">
        <v>0</v>
      </c>
      <c r="K371" s="7">
        <v>67.251315787335</v>
      </c>
      <c r="L371" s="8">
        <v>0.05679585413057681</v>
      </c>
      <c r="M371" s="9">
        <f t="shared" si="1"/>
        <v>3.327617938</v>
      </c>
      <c r="N371" s="7">
        <f t="shared" si="2"/>
        <v>113.1390099</v>
      </c>
      <c r="O371" s="9">
        <f t="shared" si="3"/>
        <v>18.85650165</v>
      </c>
      <c r="P371" s="9">
        <v>2.883939318723217</v>
      </c>
      <c r="Q371" s="9">
        <v>3.369727302115636</v>
      </c>
      <c r="R371" s="9">
        <v>3.448624633851439</v>
      </c>
      <c r="S371" s="9">
        <v>2.770757268376974</v>
      </c>
      <c r="T371" s="9">
        <v>3.842183028185241</v>
      </c>
      <c r="U371" s="9">
        <v>2.752127595872364</v>
      </c>
      <c r="V371" s="9">
        <v>3.883577284549184</v>
      </c>
      <c r="W371" s="9">
        <v>3.308540450632728</v>
      </c>
      <c r="X371" s="9">
        <v>3.105307491241747</v>
      </c>
      <c r="Y371" s="9">
        <v>3.460784728947913</v>
      </c>
      <c r="Z371" s="9">
        <v>3.390749340076487</v>
      </c>
      <c r="AA371" s="9">
        <v>3.643520549066407</v>
      </c>
      <c r="AB371" s="9">
        <v>2.956429753174775</v>
      </c>
      <c r="AC371" s="9">
        <v>3.376075881731569</v>
      </c>
      <c r="AD371" s="9">
        <v>3.75695146006132</v>
      </c>
      <c r="AE371" s="9">
        <v>3.407727994886821</v>
      </c>
      <c r="AF371" s="9">
        <v>3.003057463759771</v>
      </c>
      <c r="AG371" s="9">
        <v>3.817600380546022</v>
      </c>
      <c r="AH371" s="9">
        <v>3.919013221392723</v>
      </c>
      <c r="AI371" s="9">
        <v>2.77606709436879</v>
      </c>
      <c r="AJ371" s="9">
        <v>3.997088476175069</v>
      </c>
      <c r="AK371" s="9">
        <v>3.333761502527731</v>
      </c>
      <c r="AL371" s="9">
        <v>2.976497639377177</v>
      </c>
      <c r="AM371" s="9">
        <v>3.078251142302548</v>
      </c>
      <c r="AN371" s="9">
        <v>3.350231547211472</v>
      </c>
      <c r="AO371" s="9">
        <v>3.373283934892389</v>
      </c>
      <c r="AP371" s="9">
        <v>3.929284067137754</v>
      </c>
      <c r="AQ371" s="9">
        <v>3.181551157514382</v>
      </c>
      <c r="AR371" s="9">
        <v>3.102026107258355</v>
      </c>
      <c r="AS371" s="9">
        <v>3.039390371359531</v>
      </c>
      <c r="AT371" s="9">
        <v>2.971017930914907</v>
      </c>
      <c r="AU371" s="9">
        <v>3.412292746878863</v>
      </c>
      <c r="AV371" s="9">
        <v>3.267692068849437</v>
      </c>
      <c r="AW371" s="9">
        <v>3.253878944010829</v>
      </c>
    </row>
    <row r="372" ht="15.0" customHeight="1">
      <c r="A372" s="5" t="s">
        <v>800</v>
      </c>
      <c r="B372" s="5" t="s">
        <v>423</v>
      </c>
      <c r="C372" s="5" t="s">
        <v>773</v>
      </c>
      <c r="D372" s="5" t="s">
        <v>52</v>
      </c>
      <c r="E372" s="5">
        <v>5.5</v>
      </c>
      <c r="F372" s="6">
        <v>0.3333333333</v>
      </c>
      <c r="G372" s="5">
        <v>54.0</v>
      </c>
      <c r="H372" s="5">
        <v>1043.0</v>
      </c>
      <c r="I372" s="5" t="b">
        <v>0</v>
      </c>
      <c r="J372" s="5" t="b">
        <v>0</v>
      </c>
      <c r="K372" s="7">
        <v>33.299999998965</v>
      </c>
      <c r="L372" s="8">
        <v>0.07002608282719547</v>
      </c>
      <c r="M372" s="9">
        <f t="shared" si="1"/>
        <v>1.450945463</v>
      </c>
      <c r="N372" s="7">
        <f t="shared" si="2"/>
        <v>49.33214574</v>
      </c>
      <c r="O372" s="9">
        <f t="shared" si="3"/>
        <v>8.969481043</v>
      </c>
      <c r="P372" s="9">
        <v>1.290545736143597</v>
      </c>
      <c r="Q372" s="9">
        <v>1.474505505651309</v>
      </c>
      <c r="R372" s="9">
        <v>1.505468252685678</v>
      </c>
      <c r="S372" s="9">
        <v>1.250966968368073</v>
      </c>
      <c r="T372" s="9">
        <v>1.630993654241023</v>
      </c>
      <c r="U372" s="9">
        <v>1.235660018099251</v>
      </c>
      <c r="V372" s="9">
        <v>1.625069220980365</v>
      </c>
      <c r="W372" s="9">
        <v>1.465815492791831</v>
      </c>
      <c r="X372" s="9">
        <v>1.384576077090543</v>
      </c>
      <c r="Y372" s="9">
        <v>1.51086957291045</v>
      </c>
      <c r="Z372" s="9">
        <v>1.476986656999971</v>
      </c>
      <c r="AA372" s="9">
        <v>1.553328658703069</v>
      </c>
      <c r="AB372" s="9">
        <v>1.318125879561083</v>
      </c>
      <c r="AC372" s="9">
        <v>1.458368740360183</v>
      </c>
      <c r="AD372" s="9">
        <v>1.600350071096995</v>
      </c>
      <c r="AE372" s="9">
        <v>1.45989800327509</v>
      </c>
      <c r="AF372" s="9">
        <v>1.347377698900762</v>
      </c>
      <c r="AG372" s="9">
        <v>1.65316588811881</v>
      </c>
      <c r="AH372" s="9">
        <v>1.668034733719853</v>
      </c>
      <c r="AI372" s="9">
        <v>1.264020345802118</v>
      </c>
      <c r="AJ372" s="9">
        <v>1.705943803968195</v>
      </c>
      <c r="AK372" s="9">
        <v>1.449157194484353</v>
      </c>
      <c r="AL372" s="9">
        <v>1.319461768819063</v>
      </c>
      <c r="AM372" s="9">
        <v>1.346828414810038</v>
      </c>
      <c r="AN372" s="9">
        <v>1.456590668643851</v>
      </c>
      <c r="AO372" s="9">
        <v>1.444706087883963</v>
      </c>
      <c r="AP372" s="9">
        <v>1.645289695778345</v>
      </c>
      <c r="AQ372" s="9">
        <v>1.390806436015382</v>
      </c>
      <c r="AR372" s="9">
        <v>1.367202001298376</v>
      </c>
      <c r="AS372" s="9">
        <v>1.358906352293782</v>
      </c>
      <c r="AT372" s="9">
        <v>1.331585538188402</v>
      </c>
      <c r="AU372" s="9">
        <v>1.495524908371023</v>
      </c>
      <c r="AV372" s="9">
        <v>1.426134257236037</v>
      </c>
      <c r="AW372" s="9">
        <v>1.419881433465798</v>
      </c>
    </row>
    <row r="373" ht="15.0" customHeight="1">
      <c r="A373" s="5" t="s">
        <v>801</v>
      </c>
      <c r="B373" s="5" t="s">
        <v>802</v>
      </c>
      <c r="C373" s="5" t="s">
        <v>773</v>
      </c>
      <c r="D373" s="5" t="s">
        <v>52</v>
      </c>
      <c r="E373" s="5">
        <v>6.0</v>
      </c>
      <c r="F373" s="6">
        <v>0.6774193548</v>
      </c>
      <c r="G373" s="5">
        <v>69.0</v>
      </c>
      <c r="H373" s="5">
        <v>1821.0</v>
      </c>
      <c r="I373" s="5" t="b">
        <v>1</v>
      </c>
      <c r="J373" s="5" t="b">
        <v>1</v>
      </c>
      <c r="K373" s="7">
        <v>54.14516128854</v>
      </c>
      <c r="L373" s="8">
        <v>0.07568381429966942</v>
      </c>
      <c r="M373" s="9">
        <f t="shared" si="1"/>
        <v>2.244384452</v>
      </c>
      <c r="N373" s="7">
        <f t="shared" si="2"/>
        <v>76.30907137</v>
      </c>
      <c r="O373" s="9">
        <f t="shared" si="3"/>
        <v>12.71817856</v>
      </c>
      <c r="P373" s="9">
        <v>1.926567536744361</v>
      </c>
      <c r="Q373" s="9">
        <v>2.267594691699323</v>
      </c>
      <c r="R373" s="9">
        <v>2.322075712265956</v>
      </c>
      <c r="S373" s="9">
        <v>1.844375767193301</v>
      </c>
      <c r="T373" s="9">
        <v>2.61796574173284</v>
      </c>
      <c r="U373" s="9">
        <v>1.838180856434391</v>
      </c>
      <c r="V373" s="9">
        <v>2.665041478865725</v>
      </c>
      <c r="W373" s="9">
        <v>2.212562709686893</v>
      </c>
      <c r="X373" s="9">
        <v>2.073460254877433</v>
      </c>
      <c r="Y373" s="9">
        <v>2.329947831225256</v>
      </c>
      <c r="Z373" s="9">
        <v>2.286922892762893</v>
      </c>
      <c r="AA373" s="9">
        <v>2.480533984174385</v>
      </c>
      <c r="AB373" s="9">
        <v>1.977348624343572</v>
      </c>
      <c r="AC373" s="9">
        <v>2.287516625316766</v>
      </c>
      <c r="AD373" s="9">
        <v>2.556771055112248</v>
      </c>
      <c r="AE373" s="9">
        <v>2.318458873957195</v>
      </c>
      <c r="AF373" s="9">
        <v>2.000410380608929</v>
      </c>
      <c r="AG373" s="9">
        <v>2.574449582019278</v>
      </c>
      <c r="AH373" s="9">
        <v>2.665272661598063</v>
      </c>
      <c r="AI373" s="9">
        <v>1.838892502283987</v>
      </c>
      <c r="AJ373" s="9">
        <v>2.713122893403522</v>
      </c>
      <c r="AK373" s="9">
        <v>2.252129438066282</v>
      </c>
      <c r="AL373" s="9">
        <v>1.996660898304058</v>
      </c>
      <c r="AM373" s="9">
        <v>2.07740614998007</v>
      </c>
      <c r="AN373" s="9">
        <v>2.262693491574864</v>
      </c>
      <c r="AO373" s="9">
        <v>2.296070975343044</v>
      </c>
      <c r="AP373" s="9">
        <v>2.694699009995537</v>
      </c>
      <c r="AQ373" s="9">
        <v>2.145869789444431</v>
      </c>
      <c r="AR373" s="9">
        <v>2.084612166796486</v>
      </c>
      <c r="AS373" s="9">
        <v>2.027776460621931</v>
      </c>
      <c r="AT373" s="9">
        <v>1.980970657376434</v>
      </c>
      <c r="AU373" s="9">
        <v>2.293388344107749</v>
      </c>
      <c r="AV373" s="9">
        <v>2.204082887658404</v>
      </c>
      <c r="AW373" s="9">
        <v>2.195238444826298</v>
      </c>
    </row>
    <row r="374" ht="15.0" customHeight="1">
      <c r="A374" s="5" t="s">
        <v>803</v>
      </c>
      <c r="B374" s="5" t="s">
        <v>804</v>
      </c>
      <c r="C374" s="5" t="s">
        <v>773</v>
      </c>
      <c r="D374" s="5" t="s">
        <v>52</v>
      </c>
      <c r="E374" s="5">
        <v>5.0</v>
      </c>
      <c r="F374" s="6"/>
      <c r="G374" s="5"/>
      <c r="H374" s="5">
        <v>1821.0</v>
      </c>
      <c r="I374" s="5" t="b">
        <v>0</v>
      </c>
      <c r="J374" s="5" t="b">
        <v>0</v>
      </c>
      <c r="K374" s="7">
        <v>22.95</v>
      </c>
      <c r="L374" s="8">
        <v>0.04744786591591155</v>
      </c>
      <c r="M374" s="9">
        <f t="shared" si="1"/>
        <v>1.018128986</v>
      </c>
      <c r="N374" s="7">
        <f t="shared" si="2"/>
        <v>34.61638553</v>
      </c>
      <c r="O374" s="9">
        <f t="shared" si="3"/>
        <v>6.923277106</v>
      </c>
      <c r="P374" s="9">
        <v>1.003341341482629</v>
      </c>
      <c r="Q374" s="9">
        <v>1.020301044354299</v>
      </c>
      <c r="R374" s="9">
        <v>1.023155576033692</v>
      </c>
      <c r="S374" s="9">
        <v>0.9996924776941165</v>
      </c>
      <c r="T374" s="9">
        <v>1.034728071035848</v>
      </c>
      <c r="U374" s="9">
        <v>0.9982812923619901</v>
      </c>
      <c r="V374" s="9">
        <v>1.034181882985859</v>
      </c>
      <c r="W374" s="9">
        <v>1.019499890730101</v>
      </c>
      <c r="X374" s="9">
        <v>1.012010229509884</v>
      </c>
      <c r="Y374" s="9">
        <v>1.023653537008377</v>
      </c>
      <c r="Z374" s="9">
        <v>1.020529787789701</v>
      </c>
      <c r="AA374" s="9">
        <v>1.027567944387624</v>
      </c>
      <c r="AB374" s="9">
        <v>1.005884022628459</v>
      </c>
      <c r="AC374" s="9">
        <v>1.018813356337621</v>
      </c>
      <c r="AD374" s="9">
        <v>1.031902963859225</v>
      </c>
      <c r="AE374" s="9">
        <v>1.018954342840914</v>
      </c>
      <c r="AF374" s="9">
        <v>1.008580819682426</v>
      </c>
      <c r="AG374" s="9">
        <v>1.03677218372187</v>
      </c>
      <c r="AH374" s="9">
        <v>1.03814297910889</v>
      </c>
      <c r="AI374" s="9">
        <v>1.000895900612864</v>
      </c>
      <c r="AJ374" s="9">
        <v>1.04163790938236</v>
      </c>
      <c r="AK374" s="9">
        <v>1.017964121304</v>
      </c>
      <c r="AL374" s="9">
        <v>1.006007181539483</v>
      </c>
      <c r="AM374" s="9">
        <v>1.008530179833312</v>
      </c>
      <c r="AN374" s="9">
        <v>1.018649431539965</v>
      </c>
      <c r="AO374" s="9">
        <v>1.017553762856635</v>
      </c>
      <c r="AP374" s="9">
        <v>1.036046058209689</v>
      </c>
      <c r="AQ374" s="9">
        <v>1.012584621598067</v>
      </c>
      <c r="AR374" s="9">
        <v>1.010408470799849</v>
      </c>
      <c r="AS374" s="9">
        <v>1.009643674547809</v>
      </c>
      <c r="AT374" s="9">
        <v>1.007124901608055</v>
      </c>
      <c r="AU374" s="9">
        <v>1.022238874705034</v>
      </c>
      <c r="AV374" s="9">
        <v>1.015841580185312</v>
      </c>
      <c r="AW374" s="9">
        <v>1.015265117007868</v>
      </c>
    </row>
    <row r="375" ht="15.0" customHeight="1">
      <c r="A375" s="5" t="s">
        <v>805</v>
      </c>
      <c r="B375" s="5" t="s">
        <v>806</v>
      </c>
      <c r="C375" s="5" t="s">
        <v>773</v>
      </c>
      <c r="D375" s="5" t="s">
        <v>56</v>
      </c>
      <c r="E375" s="5">
        <v>5.0</v>
      </c>
      <c r="F375" s="6">
        <v>0.3611111111</v>
      </c>
      <c r="G375" s="10">
        <v>62.0</v>
      </c>
      <c r="H375" s="5">
        <v>1318.0</v>
      </c>
      <c r="I375" s="5" t="b">
        <v>0</v>
      </c>
      <c r="J375" s="5" t="b">
        <v>0</v>
      </c>
      <c r="K375" s="7">
        <v>37.709444444022</v>
      </c>
      <c r="L375" s="8">
        <v>0.1115023221708588</v>
      </c>
      <c r="M375" s="9">
        <f t="shared" si="1"/>
        <v>1.87714597</v>
      </c>
      <c r="N375" s="7">
        <f t="shared" si="2"/>
        <v>63.82296299</v>
      </c>
      <c r="O375" s="9">
        <f t="shared" si="3"/>
        <v>12.7645926</v>
      </c>
      <c r="P375" s="9">
        <v>1.6355024345286</v>
      </c>
      <c r="Q375" s="9">
        <v>1.912639372620882</v>
      </c>
      <c r="R375" s="9">
        <v>1.959285011126487</v>
      </c>
      <c r="S375" s="9">
        <v>1.57587668839874</v>
      </c>
      <c r="T375" s="9">
        <v>2.148390083028604</v>
      </c>
      <c r="U375" s="9">
        <v>1.552816639234816</v>
      </c>
      <c r="V375" s="9">
        <v>2.139464874554029</v>
      </c>
      <c r="W375" s="9">
        <v>1.899547795248813</v>
      </c>
      <c r="X375" s="9">
        <v>1.777159933054208</v>
      </c>
      <c r="Y375" s="9">
        <v>1.967422145418158</v>
      </c>
      <c r="Z375" s="9">
        <v>1.916377247970216</v>
      </c>
      <c r="AA375" s="9">
        <v>2.031387114836489</v>
      </c>
      <c r="AB375" s="9">
        <v>1.67705215227027</v>
      </c>
      <c r="AC375" s="9">
        <v>1.888329200155108</v>
      </c>
      <c r="AD375" s="9">
        <v>2.10222526760489</v>
      </c>
      <c r="AE375" s="9">
        <v>1.890633047582781</v>
      </c>
      <c r="AF375" s="9">
        <v>1.721120263831409</v>
      </c>
      <c r="AG375" s="9">
        <v>2.181792739620311</v>
      </c>
      <c r="AH375" s="9">
        <v>2.20419278042199</v>
      </c>
      <c r="AI375" s="9">
        <v>1.595541711156243</v>
      </c>
      <c r="AJ375" s="9">
        <v>2.261303113201083</v>
      </c>
      <c r="AK375" s="9">
        <v>1.874451928912838</v>
      </c>
      <c r="AL375" s="9">
        <v>1.679064680659371</v>
      </c>
      <c r="AM375" s="9">
        <v>1.720292762734547</v>
      </c>
      <c r="AN375" s="9">
        <v>1.885650520178006</v>
      </c>
      <c r="AO375" s="9">
        <v>1.867746299428437</v>
      </c>
      <c r="AP375" s="9">
        <v>2.169927189696523</v>
      </c>
      <c r="AQ375" s="9">
        <v>1.786546021111757</v>
      </c>
      <c r="AR375" s="9">
        <v>1.750985741924758</v>
      </c>
      <c r="AS375" s="9">
        <v>1.738488277012871</v>
      </c>
      <c r="AT375" s="9">
        <v>1.69732924105835</v>
      </c>
      <c r="AU375" s="9">
        <v>1.944305279388753</v>
      </c>
      <c r="AV375" s="9">
        <v>1.839767680547211</v>
      </c>
      <c r="AW375" s="9">
        <v>1.830347749011354</v>
      </c>
    </row>
    <row r="376" ht="15.0" customHeight="1">
      <c r="A376" s="5" t="s">
        <v>807</v>
      </c>
      <c r="B376" s="5" t="s">
        <v>808</v>
      </c>
      <c r="C376" s="5" t="s">
        <v>773</v>
      </c>
      <c r="D376" s="5" t="s">
        <v>56</v>
      </c>
      <c r="E376" s="5">
        <v>5.5</v>
      </c>
      <c r="F376" s="6">
        <v>0.6756756757</v>
      </c>
      <c r="G376" s="10">
        <v>70.0</v>
      </c>
      <c r="H376" s="5">
        <v>2106.0</v>
      </c>
      <c r="I376" s="5" t="b">
        <v>1</v>
      </c>
      <c r="J376" s="5" t="b">
        <v>0</v>
      </c>
      <c r="K376" s="7">
        <v>55.074594595714</v>
      </c>
      <c r="L376" s="8">
        <v>0.08841098769226485</v>
      </c>
      <c r="M376" s="9">
        <f t="shared" si="1"/>
        <v>2.136143769</v>
      </c>
      <c r="N376" s="7">
        <f t="shared" si="2"/>
        <v>72.62888815</v>
      </c>
      <c r="O376" s="9">
        <f t="shared" si="3"/>
        <v>13.20525239</v>
      </c>
      <c r="P376" s="9">
        <v>1.884003351318008</v>
      </c>
      <c r="Q376" s="9">
        <v>2.173178988361691</v>
      </c>
      <c r="R376" s="9">
        <v>2.221850891584047</v>
      </c>
      <c r="S376" s="9">
        <v>1.821787490668044</v>
      </c>
      <c r="T376" s="9">
        <v>2.419170599349878</v>
      </c>
      <c r="U376" s="9">
        <v>1.797725723755487</v>
      </c>
      <c r="V376" s="9">
        <v>2.409857683994207</v>
      </c>
      <c r="W376" s="9">
        <v>2.159518718992568</v>
      </c>
      <c r="X376" s="9">
        <v>2.031814385314917</v>
      </c>
      <c r="Y376" s="9">
        <v>2.230341499182954</v>
      </c>
      <c r="Z376" s="9">
        <v>2.177079235267693</v>
      </c>
      <c r="AA376" s="9">
        <v>2.297085076951235</v>
      </c>
      <c r="AB376" s="9">
        <v>1.927357969362218</v>
      </c>
      <c r="AC376" s="9">
        <v>2.147812793375835</v>
      </c>
      <c r="AD376" s="9">
        <v>2.371000405939171</v>
      </c>
      <c r="AE376" s="9">
        <v>2.15021671885807</v>
      </c>
      <c r="AF376" s="9">
        <v>1.973340379075358</v>
      </c>
      <c r="AG376" s="9">
        <v>2.454024251718808</v>
      </c>
      <c r="AH376" s="9">
        <v>2.477397339814604</v>
      </c>
      <c r="AI376" s="9">
        <v>1.842306752815214</v>
      </c>
      <c r="AJ376" s="9">
        <v>2.536988518734506</v>
      </c>
      <c r="AK376" s="9">
        <v>2.133332699962321</v>
      </c>
      <c r="AL376" s="9">
        <v>1.92945792104312</v>
      </c>
      <c r="AM376" s="9">
        <v>1.972476931717937</v>
      </c>
      <c r="AN376" s="9">
        <v>2.145017752793563</v>
      </c>
      <c r="AO376" s="9">
        <v>2.126335781069883</v>
      </c>
      <c r="AP376" s="9">
        <v>2.441643267856807</v>
      </c>
      <c r="AQ376" s="9">
        <v>2.041608200647054</v>
      </c>
      <c r="AR376" s="9">
        <v>2.004503199566586</v>
      </c>
      <c r="AS376" s="9">
        <v>1.991462850625</v>
      </c>
      <c r="AT376" s="9">
        <v>1.94851588540202</v>
      </c>
      <c r="AU376" s="9">
        <v>2.206220447306857</v>
      </c>
      <c r="AV376" s="9">
        <v>2.097141784072315</v>
      </c>
      <c r="AW376" s="9">
        <v>2.087312655117004</v>
      </c>
    </row>
    <row r="377" ht="15.0" customHeight="1">
      <c r="A377" s="5" t="s">
        <v>809</v>
      </c>
      <c r="B377" s="5" t="s">
        <v>810</v>
      </c>
      <c r="C377" s="5" t="s">
        <v>773</v>
      </c>
      <c r="D377" s="5" t="s">
        <v>56</v>
      </c>
      <c r="E377" s="5">
        <v>6.0</v>
      </c>
      <c r="F377" s="6"/>
      <c r="G377" s="5"/>
      <c r="H377" s="5">
        <v>2070.0</v>
      </c>
      <c r="I377" s="5" t="b">
        <v>0</v>
      </c>
      <c r="J377" s="5" t="b">
        <v>0</v>
      </c>
      <c r="K377" s="7">
        <v>23.98</v>
      </c>
      <c r="L377" s="8">
        <v>0.100603482594869</v>
      </c>
      <c r="M377" s="9">
        <f t="shared" si="1"/>
        <v>1.486239277</v>
      </c>
      <c r="N377" s="7">
        <f t="shared" si="2"/>
        <v>50.53213541</v>
      </c>
      <c r="O377" s="9">
        <f t="shared" si="3"/>
        <v>8.422022569</v>
      </c>
      <c r="P377" s="9">
        <v>0.0</v>
      </c>
      <c r="Q377" s="9">
        <v>0.0</v>
      </c>
      <c r="R377" s="9">
        <v>1.624807464120212</v>
      </c>
      <c r="S377" s="9">
        <v>1.393444935022589</v>
      </c>
      <c r="T377" s="9">
        <v>1.73892034354127</v>
      </c>
      <c r="U377" s="9">
        <v>1.379529662506532</v>
      </c>
      <c r="V377" s="9">
        <v>1.733534548077285</v>
      </c>
      <c r="W377" s="9">
        <v>1.58875985501152</v>
      </c>
      <c r="X377" s="9">
        <v>1.514906566885842</v>
      </c>
      <c r="Y377" s="9">
        <v>1.629717706954624</v>
      </c>
      <c r="Z377" s="9">
        <v>1.598915358985066</v>
      </c>
      <c r="AA377" s="9">
        <v>1.668316496341848</v>
      </c>
      <c r="AB377" s="9">
        <v>1.454497890361183</v>
      </c>
      <c r="AC377" s="9">
        <v>1.58199014663551</v>
      </c>
      <c r="AD377" s="9">
        <v>1.711062814586846</v>
      </c>
      <c r="AE377" s="9">
        <v>1.583380371979939</v>
      </c>
      <c r="AF377" s="9">
        <v>1.481090191933575</v>
      </c>
      <c r="AG377" s="9">
        <v>1.7590767216101</v>
      </c>
      <c r="AH377" s="9">
        <v>1.772593721071394</v>
      </c>
      <c r="AI377" s="9">
        <v>1.405311525104852</v>
      </c>
      <c r="AJ377" s="9">
        <v>1.80705617336083</v>
      </c>
      <c r="AK377" s="9">
        <v>1.573616096357355</v>
      </c>
      <c r="AL377" s="9">
        <v>1.455712323200488</v>
      </c>
      <c r="AM377" s="9">
        <v>1.480590847669896</v>
      </c>
      <c r="AN377" s="9">
        <v>1.58037373369555</v>
      </c>
      <c r="AO377" s="9">
        <v>1.569569675597198</v>
      </c>
      <c r="AP377" s="9">
        <v>1.75191661715548</v>
      </c>
      <c r="AQ377" s="9">
        <v>1.520570473855512</v>
      </c>
      <c r="AR377" s="9">
        <v>1.4991121078253</v>
      </c>
      <c r="AS377" s="9">
        <v>1.491570682879822</v>
      </c>
      <c r="AT377" s="9">
        <v>1.466733823351293</v>
      </c>
      <c r="AU377" s="9">
        <v>1.615768149075121</v>
      </c>
      <c r="AV377" s="9">
        <v>1.552686359191947</v>
      </c>
      <c r="AW377" s="9">
        <v>1.547002029836348</v>
      </c>
    </row>
    <row r="378" ht="15.0" customHeight="1">
      <c r="A378" s="5" t="s">
        <v>811</v>
      </c>
      <c r="B378" s="5" t="s">
        <v>812</v>
      </c>
      <c r="C378" s="5" t="s">
        <v>773</v>
      </c>
      <c r="D378" s="5" t="s">
        <v>56</v>
      </c>
      <c r="E378" s="5">
        <v>6.0</v>
      </c>
      <c r="F378" s="6"/>
      <c r="G378" s="5"/>
      <c r="H378" s="5">
        <v>1927.0</v>
      </c>
      <c r="I378" s="5" t="b">
        <v>1</v>
      </c>
      <c r="J378" s="5" t="b">
        <v>0</v>
      </c>
      <c r="K378" s="7">
        <v>73.02</v>
      </c>
      <c r="L378" s="8">
        <v>0.07837476534964578</v>
      </c>
      <c r="M378" s="9">
        <f t="shared" si="1"/>
        <v>3.046748748</v>
      </c>
      <c r="N378" s="7">
        <f t="shared" si="2"/>
        <v>103.5894574</v>
      </c>
      <c r="O378" s="9">
        <f t="shared" si="3"/>
        <v>17.26490957</v>
      </c>
      <c r="P378" s="9">
        <v>2.712482290671435</v>
      </c>
      <c r="Q378" s="9">
        <v>3.095846912222125</v>
      </c>
      <c r="R378" s="9">
        <v>3.160372008283975</v>
      </c>
      <c r="S378" s="9">
        <v>2.630001760442946</v>
      </c>
      <c r="T378" s="9">
        <v>3.421961801481918</v>
      </c>
      <c r="U378" s="9">
        <v>2.598102703314285</v>
      </c>
      <c r="V378" s="9">
        <v>3.409615525331688</v>
      </c>
      <c r="W378" s="9">
        <v>3.077737281512872</v>
      </c>
      <c r="X378" s="9">
        <v>2.908437668131816</v>
      </c>
      <c r="Y378" s="9">
        <v>3.171628138302973</v>
      </c>
      <c r="Z378" s="9">
        <v>3.101017529962817</v>
      </c>
      <c r="AA378" s="9">
        <v>3.260111133252547</v>
      </c>
      <c r="AB378" s="9">
        <v>2.769958179404352</v>
      </c>
      <c r="AC378" s="9">
        <v>3.062218554590238</v>
      </c>
      <c r="AD378" s="9">
        <v>3.358101829889187</v>
      </c>
      <c r="AE378" s="9">
        <v>3.065405475840433</v>
      </c>
      <c r="AF378" s="9">
        <v>2.830917772259001</v>
      </c>
      <c r="AG378" s="9">
        <v>3.468167828333536</v>
      </c>
      <c r="AH378" s="9">
        <v>3.499153893286727</v>
      </c>
      <c r="AI378" s="9">
        <v>2.657204464128391</v>
      </c>
      <c r="AJ378" s="9">
        <v>3.578154842287616</v>
      </c>
      <c r="AK378" s="9">
        <v>3.043022070445719</v>
      </c>
      <c r="AL378" s="9">
        <v>2.772742117877364</v>
      </c>
      <c r="AM378" s="9">
        <v>2.829773086721898</v>
      </c>
      <c r="AN378" s="9">
        <v>3.058513125993293</v>
      </c>
      <c r="AO378" s="9">
        <v>3.033746146683111</v>
      </c>
      <c r="AP378" s="9">
        <v>3.451754166238054</v>
      </c>
      <c r="AQ378" s="9">
        <v>2.921421480830307</v>
      </c>
      <c r="AR378" s="9">
        <v>2.872230806116923</v>
      </c>
      <c r="AS378" s="9">
        <v>2.854943013521432</v>
      </c>
      <c r="AT378" s="9">
        <v>2.798007556448431</v>
      </c>
      <c r="AU378" s="9">
        <v>3.139650486179784</v>
      </c>
      <c r="AV378" s="9">
        <v>2.995043212629114</v>
      </c>
      <c r="AW378" s="9">
        <v>2.982012584113349</v>
      </c>
    </row>
    <row r="379" ht="15.0" customHeight="1">
      <c r="A379" s="5" t="s">
        <v>813</v>
      </c>
      <c r="B379" s="5" t="s">
        <v>814</v>
      </c>
      <c r="C379" s="5" t="s">
        <v>571</v>
      </c>
      <c r="D379" s="5" t="s">
        <v>103</v>
      </c>
      <c r="E379" s="5">
        <v>4.5</v>
      </c>
      <c r="F379" s="6">
        <v>1.0</v>
      </c>
      <c r="G379" s="10">
        <v>90.0</v>
      </c>
      <c r="H379" s="5">
        <v>3659.0</v>
      </c>
      <c r="I379" s="5" t="b">
        <v>1</v>
      </c>
      <c r="J379" s="5" t="b">
        <v>0</v>
      </c>
      <c r="K379" s="7">
        <v>90.0</v>
      </c>
      <c r="L379" s="8">
        <v>0.07460621671263483</v>
      </c>
      <c r="M379" s="9">
        <f t="shared" si="1"/>
        <v>3.695235093</v>
      </c>
      <c r="N379" s="7">
        <f t="shared" si="2"/>
        <v>125.6379932</v>
      </c>
      <c r="O379" s="9">
        <f t="shared" si="3"/>
        <v>27.91955404</v>
      </c>
      <c r="P379" s="9">
        <v>3.814322043064603</v>
      </c>
      <c r="Q379" s="9">
        <v>3.683249944574766</v>
      </c>
      <c r="R379" s="9">
        <v>3.633172688300349</v>
      </c>
      <c r="S379" s="9">
        <v>3.652997587927335</v>
      </c>
      <c r="T379" s="9">
        <v>3.622896853050954</v>
      </c>
      <c r="U379" s="9">
        <v>3.655229057976682</v>
      </c>
      <c r="V379" s="9">
        <v>3.749557375861326</v>
      </c>
      <c r="W379" s="9">
        <v>3.677102988713589</v>
      </c>
      <c r="X379" s="9">
        <v>3.666310519536002</v>
      </c>
      <c r="Y379" s="9">
        <v>3.753453746816509</v>
      </c>
      <c r="Z379" s="9">
        <v>3.822543896696317</v>
      </c>
      <c r="AA379" s="9">
        <v>3.61006040844845</v>
      </c>
      <c r="AB379" s="9">
        <v>3.619267882918993</v>
      </c>
      <c r="AC379" s="9">
        <v>3.799108291877652</v>
      </c>
      <c r="AD379" s="9">
        <v>3.606421134756223</v>
      </c>
      <c r="AE379" s="9">
        <v>3.609788249501839</v>
      </c>
      <c r="AF379" s="9">
        <v>3.659751636234605</v>
      </c>
      <c r="AG379" s="9">
        <v>3.603175315290443</v>
      </c>
      <c r="AH379" s="9">
        <v>3.961276965736085</v>
      </c>
      <c r="AI379" s="9">
        <v>3.670511665517183</v>
      </c>
      <c r="AJ379" s="9">
        <v>3.602809143732905</v>
      </c>
      <c r="AK379" s="9">
        <v>3.711580580957209</v>
      </c>
      <c r="AL379" s="9">
        <v>3.607572349171153</v>
      </c>
      <c r="AM379" s="9">
        <v>3.834731710949133</v>
      </c>
      <c r="AN379" s="9">
        <v>3.658290663743763</v>
      </c>
      <c r="AO379" s="9">
        <v>3.955292967087174</v>
      </c>
      <c r="AP379" s="9">
        <v>3.601222210164682</v>
      </c>
      <c r="AQ379" s="9">
        <v>3.721148184119418</v>
      </c>
      <c r="AR379" s="9">
        <v>3.845853760275497</v>
      </c>
      <c r="AS379" s="9">
        <v>3.605396635447498</v>
      </c>
      <c r="AT379" s="9">
        <v>3.666154290955638</v>
      </c>
      <c r="AU379" s="9">
        <v>3.670632340476346</v>
      </c>
      <c r="AV379" s="9">
        <v>3.604005385717441</v>
      </c>
      <c r="AW379" s="9">
        <v>3.683104684297555</v>
      </c>
    </row>
    <row r="380" ht="15.0" customHeight="1">
      <c r="A380" s="5" t="s">
        <v>815</v>
      </c>
      <c r="B380" s="5" t="s">
        <v>816</v>
      </c>
      <c r="C380" s="5" t="s">
        <v>571</v>
      </c>
      <c r="D380" s="5" t="s">
        <v>83</v>
      </c>
      <c r="E380" s="5">
        <v>5.0</v>
      </c>
      <c r="F380" s="6">
        <v>1.0</v>
      </c>
      <c r="G380" s="5">
        <v>87.0</v>
      </c>
      <c r="H380" s="5">
        <v>3319.0</v>
      </c>
      <c r="I380" s="5" t="b">
        <v>1</v>
      </c>
      <c r="J380" s="5" t="b">
        <v>0</v>
      </c>
      <c r="K380" s="7">
        <v>87.0</v>
      </c>
      <c r="L380" s="8">
        <v>0.07594321909286507</v>
      </c>
      <c r="M380" s="9">
        <f t="shared" si="1"/>
        <v>2.899084673</v>
      </c>
      <c r="N380" s="7">
        <f t="shared" si="2"/>
        <v>98.56887888</v>
      </c>
      <c r="O380" s="9">
        <f t="shared" si="3"/>
        <v>19.71377578</v>
      </c>
      <c r="P380" s="9">
        <v>3.34107782101293</v>
      </c>
      <c r="Q380" s="9">
        <v>2.935897085503179</v>
      </c>
      <c r="R380" s="9">
        <v>2.710337501011042</v>
      </c>
      <c r="S380" s="9">
        <v>2.785678743507328</v>
      </c>
      <c r="T380" s="9">
        <v>2.70061193064046</v>
      </c>
      <c r="U380" s="9">
        <v>2.858377234415864</v>
      </c>
      <c r="V380" s="9">
        <v>3.109407655247151</v>
      </c>
      <c r="W380" s="9">
        <v>2.927834922669658</v>
      </c>
      <c r="X380" s="9">
        <v>2.866311696007956</v>
      </c>
      <c r="Y380" s="9">
        <v>3.137898821866506</v>
      </c>
      <c r="Z380" s="9">
        <v>3.404572551344489</v>
      </c>
      <c r="AA380" s="9">
        <v>2.581638711320991</v>
      </c>
      <c r="AB380" s="9">
        <v>2.61663934538318</v>
      </c>
      <c r="AC380" s="9">
        <v>3.286850169239113</v>
      </c>
      <c r="AD380" s="9">
        <v>2.537766534064463</v>
      </c>
      <c r="AE380" s="9">
        <v>2.550759506241439</v>
      </c>
      <c r="AF380" s="9">
        <v>2.866237428674621</v>
      </c>
      <c r="AG380" s="9">
        <v>2.492688182891004</v>
      </c>
      <c r="AH380" s="9">
        <v>3.650429056545053</v>
      </c>
      <c r="AI380" s="9">
        <v>2.917861273376475</v>
      </c>
      <c r="AJ380" s="9">
        <v>2.438424966814298</v>
      </c>
      <c r="AK380" s="9">
        <v>3.025466091574438</v>
      </c>
      <c r="AL380" s="9">
        <v>2.304334363339152</v>
      </c>
      <c r="AM380" s="9">
        <v>3.414358735765512</v>
      </c>
      <c r="AN380" s="9">
        <v>2.824728366598727</v>
      </c>
      <c r="AO380" s="9">
        <v>3.614804869033651</v>
      </c>
      <c r="AP380" s="9">
        <v>2.386787948667418</v>
      </c>
      <c r="AQ380" s="9">
        <v>3.136335783127988</v>
      </c>
      <c r="AR380" s="9">
        <v>3.421773941115808</v>
      </c>
      <c r="AS380" s="9">
        <v>2.497320437381306</v>
      </c>
      <c r="AT380" s="9">
        <v>2.868457217340346</v>
      </c>
      <c r="AU380" s="9">
        <v>2.920605956583906</v>
      </c>
      <c r="AV380" s="9">
        <v>2.497967790793028</v>
      </c>
      <c r="AW380" s="9">
        <v>2.938636242978374</v>
      </c>
    </row>
    <row r="381" ht="15.0" customHeight="1">
      <c r="A381" s="5" t="s">
        <v>817</v>
      </c>
      <c r="B381" s="5" t="s">
        <v>818</v>
      </c>
      <c r="C381" s="5" t="s">
        <v>571</v>
      </c>
      <c r="D381" s="5" t="s">
        <v>83</v>
      </c>
      <c r="E381" s="5">
        <v>5.0</v>
      </c>
      <c r="F381" s="6">
        <v>1.0</v>
      </c>
      <c r="G381" s="5">
        <v>90.0</v>
      </c>
      <c r="H381" s="5">
        <v>2794.0</v>
      </c>
      <c r="I381" s="5" t="b">
        <v>1</v>
      </c>
      <c r="J381" s="5" t="b">
        <v>0</v>
      </c>
      <c r="K381" s="7">
        <v>90.0</v>
      </c>
      <c r="L381" s="8">
        <v>0.08600421101055954</v>
      </c>
      <c r="M381" s="9">
        <f t="shared" si="1"/>
        <v>3.270914274</v>
      </c>
      <c r="N381" s="7">
        <f t="shared" si="2"/>
        <v>111.2110853</v>
      </c>
      <c r="O381" s="9">
        <f t="shared" si="3"/>
        <v>22.24221706</v>
      </c>
      <c r="P381" s="9">
        <v>3.813735642633379</v>
      </c>
      <c r="Q381" s="9">
        <v>3.308157686127365</v>
      </c>
      <c r="R381" s="9">
        <v>3.028121625321749</v>
      </c>
      <c r="S381" s="9">
        <v>3.091149165308085</v>
      </c>
      <c r="T381" s="9">
        <v>3.081316645600745</v>
      </c>
      <c r="U381" s="9">
        <v>3.259540757274218</v>
      </c>
      <c r="V381" s="9">
        <v>3.462514110740702</v>
      </c>
      <c r="W381" s="9">
        <v>3.317802459574628</v>
      </c>
      <c r="X381" s="9">
        <v>3.219215140886351</v>
      </c>
      <c r="Y381" s="9">
        <v>3.51891141780906</v>
      </c>
      <c r="Z381" s="9">
        <v>3.94529583435683</v>
      </c>
      <c r="AA381" s="9">
        <v>2.909320987653428</v>
      </c>
      <c r="AB381" s="9">
        <v>2.903042507493558</v>
      </c>
      <c r="AC381" s="9">
        <v>3.728955419622419</v>
      </c>
      <c r="AD381" s="9">
        <v>2.848636261405807</v>
      </c>
      <c r="AE381" s="9">
        <v>2.835693035820022</v>
      </c>
      <c r="AF381" s="9">
        <v>3.254043583066505</v>
      </c>
      <c r="AG381" s="9">
        <v>2.795769870332403</v>
      </c>
      <c r="AH381" s="9">
        <v>4.15469486390075</v>
      </c>
      <c r="AI381" s="9">
        <v>3.325934569166933</v>
      </c>
      <c r="AJ381" s="9">
        <v>2.669614467217804</v>
      </c>
      <c r="AK381" s="9">
        <v>3.404450184637259</v>
      </c>
      <c r="AL381" s="9">
        <v>2.552391535471951</v>
      </c>
      <c r="AM381" s="9">
        <v>3.930950588541999</v>
      </c>
      <c r="AN381" s="9">
        <v>3.158664781864883</v>
      </c>
      <c r="AO381" s="9">
        <v>4.081949023135713</v>
      </c>
      <c r="AP381" s="9">
        <v>2.62727535369479</v>
      </c>
      <c r="AQ381" s="9">
        <v>3.640827065639178</v>
      </c>
      <c r="AR381" s="9">
        <v>3.914766817171139</v>
      </c>
      <c r="AS381" s="9">
        <v>2.764131250027608</v>
      </c>
      <c r="AT381" s="9">
        <v>3.225376121315597</v>
      </c>
      <c r="AU381" s="9">
        <v>3.332156224866281</v>
      </c>
      <c r="AV381" s="9">
        <v>2.791008054833065</v>
      </c>
      <c r="AW381" s="9">
        <v>3.315672259517767</v>
      </c>
    </row>
    <row r="382" ht="15.0" customHeight="1">
      <c r="A382" s="5" t="s">
        <v>819</v>
      </c>
      <c r="B382" s="5" t="s">
        <v>820</v>
      </c>
      <c r="C382" s="5" t="s">
        <v>571</v>
      </c>
      <c r="D382" s="5" t="s">
        <v>83</v>
      </c>
      <c r="E382" s="5">
        <v>4.5</v>
      </c>
      <c r="F382" s="6">
        <v>0.3125</v>
      </c>
      <c r="G382" s="5">
        <v>87.0</v>
      </c>
      <c r="H382" s="5">
        <v>1226.0</v>
      </c>
      <c r="I382" s="5" t="b">
        <v>0</v>
      </c>
      <c r="J382" s="5" t="b">
        <v>0</v>
      </c>
      <c r="K382" s="7">
        <v>38.3525</v>
      </c>
      <c r="L382" s="8">
        <v>0.05668807011286904</v>
      </c>
      <c r="M382" s="9">
        <f t="shared" si="1"/>
        <v>1.082642451</v>
      </c>
      <c r="N382" s="7">
        <f t="shared" si="2"/>
        <v>36.80984334</v>
      </c>
      <c r="O382" s="9">
        <f t="shared" si="3"/>
        <v>8.179965186</v>
      </c>
      <c r="P382" s="9">
        <v>1.108191545356772</v>
      </c>
      <c r="Q382" s="9">
        <v>1.082665378250622</v>
      </c>
      <c r="R382" s="9">
        <v>1.068828734598145</v>
      </c>
      <c r="S382" s="9">
        <v>1.065389025103198</v>
      </c>
      <c r="T382" s="9">
        <v>1.085477828915148</v>
      </c>
      <c r="U382" s="9">
        <v>1.090493723338821</v>
      </c>
      <c r="V382" s="9">
        <v>1.077175718627242</v>
      </c>
      <c r="W382" s="9">
        <v>1.087363876794757</v>
      </c>
      <c r="X382" s="9">
        <v>1.07772269851159</v>
      </c>
      <c r="Y382" s="9">
        <v>1.084478768445916</v>
      </c>
      <c r="Z382" s="9">
        <v>1.126019126463904</v>
      </c>
      <c r="AA382" s="9">
        <v>1.071762031271387</v>
      </c>
      <c r="AB382" s="9">
        <v>1.060768664710888</v>
      </c>
      <c r="AC382" s="9">
        <v>1.100252835166016</v>
      </c>
      <c r="AD382" s="9">
        <v>1.067428165156717</v>
      </c>
      <c r="AE382" s="9">
        <v>1.060543124108721</v>
      </c>
      <c r="AF382" s="9">
        <v>1.086944979520225</v>
      </c>
      <c r="AG382" s="9">
        <v>1.065481761730761</v>
      </c>
      <c r="AH382" s="9">
        <v>1.11577878355876</v>
      </c>
      <c r="AI382" s="9">
        <v>1.09217247616274</v>
      </c>
      <c r="AJ382" s="9">
        <v>1.046620263406623</v>
      </c>
      <c r="AK382" s="9">
        <v>1.08422058021913</v>
      </c>
      <c r="AL382" s="9">
        <v>1.051408388881498</v>
      </c>
      <c r="AM382" s="9">
        <v>1.119618869496262</v>
      </c>
      <c r="AN382" s="9">
        <v>1.072813914049266</v>
      </c>
      <c r="AO382" s="9">
        <v>1.106058407226679</v>
      </c>
      <c r="AP382" s="9">
        <v>1.049204563535051</v>
      </c>
      <c r="AQ382" s="9">
        <v>1.11710853537212</v>
      </c>
      <c r="AR382" s="9">
        <v>1.113365156981807</v>
      </c>
      <c r="AS382" s="9">
        <v>1.055886718559338</v>
      </c>
      <c r="AT382" s="9">
        <v>1.078778374069992</v>
      </c>
      <c r="AU382" s="9">
        <v>1.093084390835841</v>
      </c>
      <c r="AV382" s="9">
        <v>1.062815542644635</v>
      </c>
      <c r="AW382" s="9">
        <v>1.083920385151911</v>
      </c>
    </row>
    <row r="383" ht="15.0" customHeight="1">
      <c r="A383" s="5" t="s">
        <v>821</v>
      </c>
      <c r="B383" s="5" t="s">
        <v>822</v>
      </c>
      <c r="C383" s="5" t="s">
        <v>571</v>
      </c>
      <c r="D383" s="5" t="s">
        <v>83</v>
      </c>
      <c r="E383" s="5">
        <v>4.5</v>
      </c>
      <c r="F383" s="6">
        <v>0.9032258065</v>
      </c>
      <c r="G383" s="5">
        <v>78.0</v>
      </c>
      <c r="H383" s="5">
        <v>2332.0</v>
      </c>
      <c r="I383" s="5" t="b">
        <v>1</v>
      </c>
      <c r="J383" s="5" t="b">
        <v>0</v>
      </c>
      <c r="K383" s="7">
        <v>72.02322580943999</v>
      </c>
      <c r="L383" s="8">
        <v>0.08006507448475932</v>
      </c>
      <c r="M383" s="9">
        <f t="shared" si="1"/>
        <v>2.759089584</v>
      </c>
      <c r="N383" s="7">
        <f t="shared" si="2"/>
        <v>93.80904586</v>
      </c>
      <c r="O383" s="9">
        <f t="shared" si="3"/>
        <v>20.84645464</v>
      </c>
      <c r="P383" s="9">
        <v>3.180802586600398</v>
      </c>
      <c r="Q383" s="9">
        <v>2.796023303682912</v>
      </c>
      <c r="R383" s="9">
        <v>2.581499762873023</v>
      </c>
      <c r="S383" s="9">
        <v>2.660087939002747</v>
      </c>
      <c r="T383" s="9">
        <v>2.557417953630484</v>
      </c>
      <c r="U383" s="9">
        <v>2.711473745977155</v>
      </c>
      <c r="V383" s="9">
        <v>2.974919936841123</v>
      </c>
      <c r="W383" s="9">
        <v>2.783889332142753</v>
      </c>
      <c r="X383" s="9">
        <v>2.730422268088847</v>
      </c>
      <c r="Y383" s="9">
        <v>2.997239294770895</v>
      </c>
      <c r="Z383" s="9">
        <v>3.229208026953556</v>
      </c>
      <c r="AA383" s="9">
        <v>2.449785169045223</v>
      </c>
      <c r="AB383" s="9">
        <v>2.494374684803622</v>
      </c>
      <c r="AC383" s="9">
        <v>3.133194845959795</v>
      </c>
      <c r="AD383" s="9">
        <v>2.409472243517781</v>
      </c>
      <c r="AE383" s="9">
        <v>2.428436440296474</v>
      </c>
      <c r="AF383" s="9">
        <v>2.722416133678763</v>
      </c>
      <c r="AG383" s="9">
        <v>2.365895196440251</v>
      </c>
      <c r="AH383" s="9">
        <v>3.484813551700181</v>
      </c>
      <c r="AI383" s="9">
        <v>2.769741859652489</v>
      </c>
      <c r="AJ383" s="9">
        <v>2.327645851553942</v>
      </c>
      <c r="AK383" s="9">
        <v>2.884597897029248</v>
      </c>
      <c r="AL383" s="9">
        <v>2.18892355089659</v>
      </c>
      <c r="AM383" s="9">
        <v>3.24453621458579</v>
      </c>
      <c r="AN383" s="9">
        <v>2.692901414825829</v>
      </c>
      <c r="AO383" s="9">
        <v>3.457412857952326</v>
      </c>
      <c r="AP383" s="9">
        <v>2.273588399922101</v>
      </c>
      <c r="AQ383" s="9">
        <v>2.967607179400872</v>
      </c>
      <c r="AR383" s="9">
        <v>3.257358305191652</v>
      </c>
      <c r="AS383" s="9">
        <v>2.378797371776688</v>
      </c>
      <c r="AT383" s="9">
        <v>2.73166807958745</v>
      </c>
      <c r="AU383" s="9">
        <v>2.771712769291492</v>
      </c>
      <c r="AV383" s="9">
        <v>2.373488100210469</v>
      </c>
      <c r="AW383" s="9">
        <v>2.797693591446352</v>
      </c>
    </row>
    <row r="384" ht="15.0" customHeight="1">
      <c r="A384" s="5" t="s">
        <v>823</v>
      </c>
      <c r="B384" s="5" t="s">
        <v>824</v>
      </c>
      <c r="C384" s="5" t="s">
        <v>571</v>
      </c>
      <c r="D384" s="5" t="s">
        <v>83</v>
      </c>
      <c r="E384" s="5">
        <v>4.0</v>
      </c>
      <c r="F384" s="6"/>
      <c r="G384" s="10"/>
      <c r="H384" s="5">
        <v>1852.0</v>
      </c>
      <c r="I384" s="5" t="b">
        <v>1</v>
      </c>
      <c r="J384" s="5" t="b">
        <v>0</v>
      </c>
      <c r="K384" s="7">
        <v>80.76</v>
      </c>
      <c r="L384" s="8">
        <v>0.0678107890415184</v>
      </c>
      <c r="M384" s="9">
        <f t="shared" si="1"/>
        <v>3.054655971</v>
      </c>
      <c r="N384" s="7">
        <f t="shared" si="2"/>
        <v>103.858303</v>
      </c>
      <c r="O384" s="9">
        <f t="shared" si="3"/>
        <v>25.96457575</v>
      </c>
      <c r="P384" s="9">
        <v>3.516323458306424</v>
      </c>
      <c r="Q384" s="9">
        <v>3.091210793100533</v>
      </c>
      <c r="R384" s="9">
        <v>2.854891771427636</v>
      </c>
      <c r="S384" s="9">
        <v>2.926564997647545</v>
      </c>
      <c r="T384" s="9">
        <v>2.860237531022285</v>
      </c>
      <c r="U384" s="9">
        <v>3.021328791330144</v>
      </c>
      <c r="V384" s="9">
        <v>3.258464707657891</v>
      </c>
      <c r="W384" s="9">
        <v>3.087442064102667</v>
      </c>
      <c r="X384" s="9">
        <v>3.017698899479043</v>
      </c>
      <c r="Y384" s="9">
        <v>3.293319251921524</v>
      </c>
      <c r="Z384" s="9">
        <v>3.595397692123952</v>
      </c>
      <c r="AA384" s="9">
        <v>2.729808110453961</v>
      </c>
      <c r="AB384" s="9">
        <v>2.754641161883359</v>
      </c>
      <c r="AC384" s="9">
        <v>3.455354341112968</v>
      </c>
      <c r="AD384" s="9">
        <v>2.682363508693303</v>
      </c>
      <c r="AE384" s="9">
        <v>2.689056098939479</v>
      </c>
      <c r="AF384" s="9">
        <v>3.02593279918624</v>
      </c>
      <c r="AG384" s="9">
        <v>2.635872521468718</v>
      </c>
      <c r="AH384" s="9">
        <v>3.830171215589382</v>
      </c>
      <c r="AI384" s="9">
        <v>3.081875477372339</v>
      </c>
      <c r="AJ384" s="9">
        <v>2.565028654005565</v>
      </c>
      <c r="AK384" s="9">
        <v>3.181503754501141</v>
      </c>
      <c r="AL384" s="9">
        <v>2.436264797810619</v>
      </c>
      <c r="AM384" s="9">
        <v>3.599344435557677</v>
      </c>
      <c r="AN384" s="9">
        <v>2.972007948138949</v>
      </c>
      <c r="AO384" s="9">
        <v>3.786059991212285</v>
      </c>
      <c r="AP384" s="9">
        <v>2.516109916680847</v>
      </c>
      <c r="AQ384" s="9">
        <v>3.321161540381451</v>
      </c>
      <c r="AR384" s="9">
        <v>3.601070130798434</v>
      </c>
      <c r="AS384" s="9">
        <v>2.631826366511894</v>
      </c>
      <c r="AT384" s="9">
        <v>3.020779176632661</v>
      </c>
      <c r="AU384" s="9">
        <v>3.085420885151387</v>
      </c>
      <c r="AV384" s="9">
        <v>2.638710443144136</v>
      </c>
      <c r="AW384" s="9">
        <v>3.095059780901414</v>
      </c>
    </row>
    <row r="385" ht="15.0" customHeight="1">
      <c r="A385" s="5" t="s">
        <v>825</v>
      </c>
      <c r="B385" s="5" t="s">
        <v>826</v>
      </c>
      <c r="C385" s="5" t="s">
        <v>571</v>
      </c>
      <c r="D385" s="5" t="s">
        <v>52</v>
      </c>
      <c r="E385" s="5">
        <v>4.5</v>
      </c>
      <c r="F385" s="6"/>
      <c r="G385" s="5"/>
      <c r="H385" s="5">
        <v>477.0</v>
      </c>
      <c r="I385" s="5" t="b">
        <v>1</v>
      </c>
      <c r="J385" s="5" t="b">
        <v>0</v>
      </c>
      <c r="K385" s="7">
        <v>74.05</v>
      </c>
      <c r="L385" s="8">
        <v>0.04731319835659004</v>
      </c>
      <c r="M385" s="9">
        <f t="shared" si="1"/>
        <v>2.006764164</v>
      </c>
      <c r="N385" s="7">
        <f t="shared" si="2"/>
        <v>68.22998157</v>
      </c>
      <c r="O385" s="9">
        <f t="shared" si="3"/>
        <v>15.16221813</v>
      </c>
      <c r="P385" s="9">
        <v>2.128954360504498</v>
      </c>
      <c r="Q385" s="9">
        <v>2.015735510105249</v>
      </c>
      <c r="R385" s="9">
        <v>1.95292174199935</v>
      </c>
      <c r="S385" s="9">
        <v>1.969285908574529</v>
      </c>
      <c r="T385" s="9">
        <v>1.960090125055585</v>
      </c>
      <c r="U385" s="9">
        <v>2.001354593151613</v>
      </c>
      <c r="V385" s="9">
        <v>2.054814932033045</v>
      </c>
      <c r="W385" s="9">
        <v>2.016464471530359</v>
      </c>
      <c r="X385" s="9">
        <v>1.995971351344701</v>
      </c>
      <c r="Y385" s="9">
        <v>2.065930710537832</v>
      </c>
      <c r="Z385" s="9">
        <v>2.154615664203447</v>
      </c>
      <c r="AA385" s="9">
        <v>1.923283112501428</v>
      </c>
      <c r="AB385" s="9">
        <v>1.925504441343774</v>
      </c>
      <c r="AC385" s="9">
        <v>2.111211619614375</v>
      </c>
      <c r="AD385" s="9">
        <v>1.910124877354716</v>
      </c>
      <c r="AE385" s="9">
        <v>1.909343565484253</v>
      </c>
      <c r="AF385" s="9">
        <v>2.001234957466984</v>
      </c>
      <c r="AG385" s="9">
        <v>1.898040442791357</v>
      </c>
      <c r="AH385" s="9">
        <v>2.208579545793025</v>
      </c>
      <c r="AI385" s="9">
        <v>2.016791332816199</v>
      </c>
      <c r="AJ385" s="9">
        <v>1.87403347358524</v>
      </c>
      <c r="AK385" s="9">
        <v>2.03842259846655</v>
      </c>
      <c r="AL385" s="9">
        <v>1.84414503490215</v>
      </c>
      <c r="AM385" s="9">
        <v>2.153331627905474</v>
      </c>
      <c r="AN385" s="9">
        <v>1.983040841404089</v>
      </c>
      <c r="AO385" s="9">
        <v>2.19434353962427</v>
      </c>
      <c r="AP385" s="9">
        <v>1.862947775074951</v>
      </c>
      <c r="AQ385" s="9">
        <v>2.084237694188278</v>
      </c>
      <c r="AR385" s="9">
        <v>2.151554546578642</v>
      </c>
      <c r="AS385" s="9">
        <v>1.893672528259484</v>
      </c>
      <c r="AT385" s="9">
        <v>1.997098053396609</v>
      </c>
      <c r="AU385" s="9">
        <v>2.017981506443972</v>
      </c>
      <c r="AV385" s="9">
        <v>1.897798256804911</v>
      </c>
      <c r="AW385" s="9">
        <v>2.017120830901025</v>
      </c>
    </row>
    <row r="386" ht="15.0" customHeight="1">
      <c r="A386" s="5" t="s">
        <v>827</v>
      </c>
      <c r="B386" s="5" t="s">
        <v>828</v>
      </c>
      <c r="C386" s="5" t="s">
        <v>571</v>
      </c>
      <c r="D386" s="5" t="s">
        <v>52</v>
      </c>
      <c r="E386" s="5">
        <v>5.0</v>
      </c>
      <c r="F386" s="6">
        <v>0.4285714286</v>
      </c>
      <c r="G386" s="5">
        <v>61.0</v>
      </c>
      <c r="H386" s="5">
        <v>398.0</v>
      </c>
      <c r="I386" s="5" t="b">
        <v>0</v>
      </c>
      <c r="J386" s="5" t="b">
        <v>0</v>
      </c>
      <c r="K386" s="7">
        <v>39.25714285823</v>
      </c>
      <c r="L386" s="8">
        <v>0.02277806735093892</v>
      </c>
      <c r="M386" s="9">
        <f t="shared" si="1"/>
        <v>1.405678617</v>
      </c>
      <c r="N386" s="7">
        <f t="shared" si="2"/>
        <v>47.79307297</v>
      </c>
      <c r="O386" s="9">
        <f t="shared" si="3"/>
        <v>9.558614595</v>
      </c>
      <c r="P386" s="9">
        <v>1.539103384369763</v>
      </c>
      <c r="Q386" s="9">
        <v>1.405798349273534</v>
      </c>
      <c r="R386" s="9">
        <v>1.33353939006367</v>
      </c>
      <c r="S386" s="9">
        <v>1.315576231198573</v>
      </c>
      <c r="T386" s="9">
        <v>1.420485780918949</v>
      </c>
      <c r="U386" s="9">
        <v>1.446680233827066</v>
      </c>
      <c r="V386" s="9">
        <v>1.377129757325597</v>
      </c>
      <c r="W386" s="9">
        <v>1.430335269004602</v>
      </c>
      <c r="X386" s="9">
        <v>1.379986244646107</v>
      </c>
      <c r="Y386" s="9">
        <v>1.415268397895463</v>
      </c>
      <c r="Z386" s="9">
        <v>1.632204174444684</v>
      </c>
      <c r="AA386" s="9">
        <v>1.348857914554564</v>
      </c>
      <c r="AB386" s="9">
        <v>1.291447371519294</v>
      </c>
      <c r="AC386" s="9">
        <v>1.497645141297202</v>
      </c>
      <c r="AD386" s="9">
        <v>1.326225210940426</v>
      </c>
      <c r="AE386" s="9">
        <v>1.290269533195099</v>
      </c>
      <c r="AF386" s="9">
        <v>1.428147666155693</v>
      </c>
      <c r="AG386" s="9">
        <v>1.316060528717294</v>
      </c>
      <c r="AH386" s="9">
        <v>1.578726138956984</v>
      </c>
      <c r="AI386" s="9">
        <v>1.455447167114769</v>
      </c>
      <c r="AJ386" s="9">
        <v>1.217560323590107</v>
      </c>
      <c r="AK386" s="9">
        <v>1.413920064223201</v>
      </c>
      <c r="AL386" s="9">
        <v>1.242565301102752</v>
      </c>
      <c r="AM386" s="9">
        <v>1.598780179524159</v>
      </c>
      <c r="AN386" s="9">
        <v>1.354351150967186</v>
      </c>
      <c r="AO386" s="9">
        <v>1.527963519457232</v>
      </c>
      <c r="AP386" s="9">
        <v>1.231056287080697</v>
      </c>
      <c r="AQ386" s="9">
        <v>1.585670487922975</v>
      </c>
      <c r="AR386" s="9">
        <v>1.56612148216649</v>
      </c>
      <c r="AS386" s="9">
        <v>1.265952435269603</v>
      </c>
      <c r="AT386" s="9">
        <v>1.385499288056728</v>
      </c>
      <c r="AU386" s="9">
        <v>1.460209449559952</v>
      </c>
      <c r="AV386" s="9">
        <v>1.302136760712007</v>
      </c>
      <c r="AW386" s="9">
        <v>1.412352358668153</v>
      </c>
    </row>
    <row r="387" ht="15.0" customHeight="1">
      <c r="A387" s="5" t="s">
        <v>829</v>
      </c>
      <c r="B387" s="5" t="s">
        <v>830</v>
      </c>
      <c r="C387" s="5" t="s">
        <v>571</v>
      </c>
      <c r="D387" s="5" t="s">
        <v>52</v>
      </c>
      <c r="E387" s="5">
        <v>5.0</v>
      </c>
      <c r="F387" s="6">
        <v>0.4375</v>
      </c>
      <c r="G387" s="10">
        <v>56.0</v>
      </c>
      <c r="H387" s="5">
        <v>558.0</v>
      </c>
      <c r="I387" s="5" t="b">
        <v>0</v>
      </c>
      <c r="J387" s="5" t="b">
        <v>0</v>
      </c>
      <c r="K387" s="7">
        <v>37.409375</v>
      </c>
      <c r="L387" s="8">
        <v>0.05572910178731458</v>
      </c>
      <c r="M387" s="9">
        <f t="shared" si="1"/>
        <v>1.034079995</v>
      </c>
      <c r="N387" s="7">
        <f t="shared" si="2"/>
        <v>35.15871981</v>
      </c>
      <c r="O387" s="9">
        <f t="shared" si="3"/>
        <v>7.031743963</v>
      </c>
      <c r="P387" s="9">
        <v>1.066688300062463</v>
      </c>
      <c r="Q387" s="9">
        <v>1.034109256513105</v>
      </c>
      <c r="R387" s="9">
        <v>1.016449550131947</v>
      </c>
      <c r="S387" s="9">
        <v>1.012059449378981</v>
      </c>
      <c r="T387" s="9">
        <v>1.037698786907503</v>
      </c>
      <c r="U387" s="9">
        <v>1.044100572267142</v>
      </c>
      <c r="V387" s="9">
        <v>1.027102804694564</v>
      </c>
      <c r="W387" s="9">
        <v>1.040105949555558</v>
      </c>
      <c r="X387" s="9">
        <v>1.027800915045354</v>
      </c>
      <c r="Y387" s="9">
        <v>1.036423686168712</v>
      </c>
      <c r="Z387" s="9">
        <v>1.08944163936537</v>
      </c>
      <c r="AA387" s="9">
        <v>1.020193316270566</v>
      </c>
      <c r="AB387" s="9">
        <v>1.006162484048901</v>
      </c>
      <c r="AC387" s="9">
        <v>1.056556125343287</v>
      </c>
      <c r="AD387" s="9">
        <v>1.014662003547439</v>
      </c>
      <c r="AE387" s="9">
        <v>1.00587462660953</v>
      </c>
      <c r="AF387" s="9">
        <v>1.039571311021974</v>
      </c>
      <c r="AG387" s="9">
        <v>1.012177809123922</v>
      </c>
      <c r="AH387" s="9">
        <v>1.076371891130953</v>
      </c>
      <c r="AI387" s="9">
        <v>1.046243164264272</v>
      </c>
      <c r="AJ387" s="9">
        <v>0.9881048814198576</v>
      </c>
      <c r="AK387" s="9">
        <v>1.036094160570552</v>
      </c>
      <c r="AL387" s="9">
        <v>0.994215965301626</v>
      </c>
      <c r="AM387" s="9">
        <v>1.08127299228221</v>
      </c>
      <c r="AN387" s="9">
        <v>1.021535834114581</v>
      </c>
      <c r="AO387" s="9">
        <v>1.063965776161866</v>
      </c>
      <c r="AP387" s="9">
        <v>0.9914032233165688</v>
      </c>
      <c r="AQ387" s="9">
        <v>1.078069053186547</v>
      </c>
      <c r="AR387" s="9">
        <v>1.073291379864399</v>
      </c>
      <c r="AS387" s="9">
        <v>0.9999316568504599</v>
      </c>
      <c r="AT387" s="9">
        <v>1.029148273614627</v>
      </c>
      <c r="AU387" s="9">
        <v>1.047407040835506</v>
      </c>
      <c r="AV387" s="9">
        <v>1.008774914072824</v>
      </c>
      <c r="AW387" s="9">
        <v>1.035711021647753</v>
      </c>
    </row>
    <row r="388" ht="15.0" customHeight="1">
      <c r="A388" s="5" t="s">
        <v>831</v>
      </c>
      <c r="B388" s="5" t="s">
        <v>832</v>
      </c>
      <c r="C388" s="5" t="s">
        <v>571</v>
      </c>
      <c r="D388" s="5" t="s">
        <v>52</v>
      </c>
      <c r="E388" s="5">
        <v>4.5</v>
      </c>
      <c r="F388" s="6">
        <v>1.0</v>
      </c>
      <c r="G388" s="5">
        <v>67.0</v>
      </c>
      <c r="H388" s="5">
        <v>633.0</v>
      </c>
      <c r="I388" s="5" t="b">
        <v>1</v>
      </c>
      <c r="J388" s="5" t="b">
        <v>0</v>
      </c>
      <c r="K388" s="7">
        <v>67.0</v>
      </c>
      <c r="L388" s="8">
        <v>0.07486385138105556</v>
      </c>
      <c r="M388" s="9">
        <f t="shared" si="1"/>
        <v>2.069563566</v>
      </c>
      <c r="N388" s="7">
        <f t="shared" si="2"/>
        <v>70.36516123</v>
      </c>
      <c r="O388" s="9">
        <f t="shared" si="3"/>
        <v>15.6367025</v>
      </c>
      <c r="P388" s="9">
        <v>0.0</v>
      </c>
      <c r="Q388" s="9">
        <v>0.0</v>
      </c>
      <c r="R388" s="9">
        <v>2.122269515343815</v>
      </c>
      <c r="S388" s="9">
        <v>2.132300921078773</v>
      </c>
      <c r="T388" s="9">
        <v>2.162362308011561</v>
      </c>
      <c r="U388" s="9">
        <v>2.214574649175648</v>
      </c>
      <c r="V388" s="9">
        <v>2.243255145603137</v>
      </c>
      <c r="W388" s="9">
        <v>2.22392803113808</v>
      </c>
      <c r="X388" s="9">
        <v>2.183939108499145</v>
      </c>
      <c r="Y388" s="9">
        <v>2.269022763155301</v>
      </c>
      <c r="Z388" s="9">
        <v>2.441718287589892</v>
      </c>
      <c r="AA388" s="9">
        <v>2.097618727546624</v>
      </c>
      <c r="AB388" s="9">
        <v>2.078283076769681</v>
      </c>
      <c r="AC388" s="9">
        <v>2.346510171430447</v>
      </c>
      <c r="AD388" s="9">
        <v>2.07559300273799</v>
      </c>
      <c r="AE388" s="9">
        <v>2.061253609218506</v>
      </c>
      <c r="AF388" s="9">
        <v>2.207474243411962</v>
      </c>
      <c r="AG388" s="9">
        <v>2.059363610815896</v>
      </c>
      <c r="AH388" s="9">
        <v>2.476966943425092</v>
      </c>
      <c r="AI388" s="9">
        <v>2.233718271177637</v>
      </c>
      <c r="AJ388" s="9">
        <v>1.997639195230198</v>
      </c>
      <c r="AK388" s="9">
        <v>2.240283366127901</v>
      </c>
      <c r="AL388" s="9">
        <v>1.97637903444923</v>
      </c>
      <c r="AM388" s="9">
        <v>2.427816138734474</v>
      </c>
      <c r="AN388" s="9">
        <v>2.16101668156662</v>
      </c>
      <c r="AO388" s="9">
        <v>2.443244013583143</v>
      </c>
      <c r="AP388" s="9">
        <v>1.991343187237083</v>
      </c>
      <c r="AQ388" s="9">
        <v>2.35196874032702</v>
      </c>
      <c r="AR388" s="9">
        <v>2.413696113917425</v>
      </c>
      <c r="AS388" s="9">
        <v>2.036014795917513</v>
      </c>
      <c r="AT388" s="9">
        <v>2.187171143536628</v>
      </c>
      <c r="AU388" s="9">
        <v>2.236732781467523</v>
      </c>
      <c r="AV388" s="9">
        <v>2.053872671669315</v>
      </c>
      <c r="AW388" s="9">
        <v>2.217830983064344</v>
      </c>
    </row>
    <row r="389" ht="15.0" customHeight="1">
      <c r="A389" s="5" t="s">
        <v>833</v>
      </c>
      <c r="B389" s="5" t="s">
        <v>834</v>
      </c>
      <c r="C389" s="5" t="s">
        <v>571</v>
      </c>
      <c r="D389" s="5" t="s">
        <v>52</v>
      </c>
      <c r="E389" s="5">
        <v>5.0</v>
      </c>
      <c r="F389" s="6">
        <v>0.5588235294</v>
      </c>
      <c r="G389" s="5">
        <v>78.0</v>
      </c>
      <c r="H389" s="5">
        <v>1918.0</v>
      </c>
      <c r="I389" s="5" t="b">
        <v>1</v>
      </c>
      <c r="J389" s="5" t="b">
        <v>0</v>
      </c>
      <c r="K389" s="7">
        <v>53.71323529347</v>
      </c>
      <c r="L389" s="8">
        <v>0.05412075702292979</v>
      </c>
      <c r="M389" s="9">
        <f t="shared" si="1"/>
        <v>1.387420713</v>
      </c>
      <c r="N389" s="7">
        <f t="shared" si="2"/>
        <v>47.17230425</v>
      </c>
      <c r="O389" s="9">
        <f t="shared" si="3"/>
        <v>9.434460851</v>
      </c>
      <c r="P389" s="9">
        <v>1.510551632120543</v>
      </c>
      <c r="Q389" s="9">
        <v>1.3964505049549</v>
      </c>
      <c r="R389" s="9">
        <v>1.333149114950265</v>
      </c>
      <c r="S389" s="9">
        <v>1.349599927729931</v>
      </c>
      <c r="T389" s="9">
        <v>1.340459548595881</v>
      </c>
      <c r="U389" s="9">
        <v>1.382020994772689</v>
      </c>
      <c r="V389" s="9">
        <v>1.435752469555941</v>
      </c>
      <c r="W389" s="9">
        <v>1.397211143023967</v>
      </c>
      <c r="X389" s="9">
        <v>1.376529540363081</v>
      </c>
      <c r="Y389" s="9">
        <v>1.446982372180866</v>
      </c>
      <c r="Z389" s="9">
        <v>1.536481947534974</v>
      </c>
      <c r="AA389" s="9">
        <v>1.303334651480846</v>
      </c>
      <c r="AB389" s="9">
        <v>1.305507389624464</v>
      </c>
      <c r="AC389" s="9">
        <v>1.492648047213868</v>
      </c>
      <c r="AD389" s="9">
        <v>1.290066039723619</v>
      </c>
      <c r="AE389" s="9">
        <v>1.28924017460401</v>
      </c>
      <c r="AF389" s="9">
        <v>1.381880235080236</v>
      </c>
      <c r="AG389" s="9">
        <v>1.277891896559239</v>
      </c>
      <c r="AH389" s="9">
        <v>1.590737883535903</v>
      </c>
      <c r="AI389" s="9">
        <v>1.397567698546308</v>
      </c>
      <c r="AJ389" s="9">
        <v>1.253620740985419</v>
      </c>
      <c r="AK389" s="9">
        <v>1.419293976483471</v>
      </c>
      <c r="AL389" s="9">
        <v>1.223565479043972</v>
      </c>
      <c r="AM389" s="9">
        <v>1.535152869729887</v>
      </c>
      <c r="AN389" s="9">
        <v>1.36348683779303</v>
      </c>
      <c r="AO389" s="9">
        <v>1.576353612195492</v>
      </c>
      <c r="AP389" s="9">
        <v>1.242477802022989</v>
      </c>
      <c r="AQ389" s="9">
        <v>1.46559543118075</v>
      </c>
      <c r="AR389" s="9">
        <v>1.533328382290676</v>
      </c>
      <c r="AS389" s="9">
        <v>1.27344057825224</v>
      </c>
      <c r="AT389" s="9">
        <v>1.377669618614806</v>
      </c>
      <c r="AU389" s="9">
        <v>1.398770836701647</v>
      </c>
      <c r="AV389" s="9">
        <v>1.277632849853988</v>
      </c>
      <c r="AW389" s="9">
        <v>1.397852025824604</v>
      </c>
    </row>
    <row r="390" ht="15.0" customHeight="1">
      <c r="A390" s="5" t="s">
        <v>835</v>
      </c>
      <c r="B390" s="5" t="s">
        <v>836</v>
      </c>
      <c r="C390" s="5" t="s">
        <v>571</v>
      </c>
      <c r="D390" s="5" t="s">
        <v>52</v>
      </c>
      <c r="E390" s="5">
        <v>5.0</v>
      </c>
      <c r="F390" s="6">
        <v>0.05263157895</v>
      </c>
      <c r="G390" s="5">
        <v>58.0</v>
      </c>
      <c r="H390" s="5">
        <v>692.0</v>
      </c>
      <c r="I390" s="5" t="b">
        <v>0</v>
      </c>
      <c r="J390" s="5" t="b">
        <v>0</v>
      </c>
      <c r="K390" s="7">
        <v>24.7947368421975</v>
      </c>
      <c r="L390" s="8">
        <v>0.08586518561018103</v>
      </c>
      <c r="M390" s="9">
        <f t="shared" si="1"/>
        <v>1.425788915</v>
      </c>
      <c r="N390" s="7">
        <f t="shared" si="2"/>
        <v>48.47682311</v>
      </c>
      <c r="O390" s="9">
        <f t="shared" si="3"/>
        <v>9.695364623</v>
      </c>
      <c r="P390" s="9">
        <v>1.551596897223368</v>
      </c>
      <c r="Q390" s="9">
        <v>1.425901812399808</v>
      </c>
      <c r="R390" s="9">
        <v>1.357767881820295</v>
      </c>
      <c r="S390" s="9">
        <v>1.340830181187925</v>
      </c>
      <c r="T390" s="9">
        <v>1.439750786410265</v>
      </c>
      <c r="U390" s="9">
        <v>1.464449883318463</v>
      </c>
      <c r="V390" s="9">
        <v>1.398869816991183</v>
      </c>
      <c r="W390" s="9">
        <v>1.449037999301369</v>
      </c>
      <c r="X390" s="9">
        <v>1.401563236754282</v>
      </c>
      <c r="Y390" s="9">
        <v>1.43483124679032</v>
      </c>
      <c r="Z390" s="9">
        <v>1.639382866426709</v>
      </c>
      <c r="AA390" s="9">
        <v>1.372211921641182</v>
      </c>
      <c r="AB390" s="9">
        <v>1.318078759518868</v>
      </c>
      <c r="AC390" s="9">
        <v>1.512505370216309</v>
      </c>
      <c r="AD390" s="9">
        <v>1.35087124536056</v>
      </c>
      <c r="AE390" s="9">
        <v>1.316968160148325</v>
      </c>
      <c r="AF390" s="9">
        <v>1.446975279573976</v>
      </c>
      <c r="AG390" s="9">
        <v>1.341286831738683</v>
      </c>
      <c r="AH390" s="9">
        <v>1.588957717804442</v>
      </c>
      <c r="AI390" s="9">
        <v>1.472716340939099</v>
      </c>
      <c r="AJ390" s="9">
        <v>1.248409682502254</v>
      </c>
      <c r="AK390" s="9">
        <v>1.433559885095819</v>
      </c>
      <c r="AL390" s="9">
        <v>1.271987207291128</v>
      </c>
      <c r="AM390" s="9">
        <v>1.607866938512622</v>
      </c>
      <c r="AN390" s="9">
        <v>1.377391567078746</v>
      </c>
      <c r="AO390" s="9">
        <v>1.541092970915613</v>
      </c>
      <c r="AP390" s="9">
        <v>1.261135205394175</v>
      </c>
      <c r="AQ390" s="9">
        <v>1.595505636506047</v>
      </c>
      <c r="AR390" s="9">
        <v>1.577072619816138</v>
      </c>
      <c r="AS390" s="9">
        <v>1.294039246141426</v>
      </c>
      <c r="AT390" s="9">
        <v>1.406761558472841</v>
      </c>
      <c r="AU390" s="9">
        <v>1.477206760190472</v>
      </c>
      <c r="AV390" s="9">
        <v>1.328157926298429</v>
      </c>
      <c r="AW390" s="9">
        <v>1.432081674744816</v>
      </c>
    </row>
    <row r="391" ht="15.0" customHeight="1">
      <c r="A391" s="5" t="s">
        <v>837</v>
      </c>
      <c r="B391" s="5" t="s">
        <v>838</v>
      </c>
      <c r="C391" s="5" t="s">
        <v>571</v>
      </c>
      <c r="D391" s="5" t="s">
        <v>52</v>
      </c>
      <c r="E391" s="5">
        <v>5.0</v>
      </c>
      <c r="F391" s="6">
        <v>0.02702702703</v>
      </c>
      <c r="G391" s="5">
        <v>62.0</v>
      </c>
      <c r="H391" s="5">
        <v>513.0</v>
      </c>
      <c r="I391" s="5" t="b">
        <v>0</v>
      </c>
      <c r="J391" s="5" t="b">
        <v>0</v>
      </c>
      <c r="K391" s="7">
        <v>24.0054054055215</v>
      </c>
      <c r="L391" s="8">
        <v>0.03258425487243949</v>
      </c>
      <c r="M391" s="9">
        <f t="shared" si="1"/>
        <v>1.109497588</v>
      </c>
      <c r="N391" s="7">
        <f t="shared" si="2"/>
        <v>37.72291799</v>
      </c>
      <c r="O391" s="9">
        <f t="shared" si="3"/>
        <v>7.544583599</v>
      </c>
      <c r="P391" s="9">
        <v>1.130689996574448</v>
      </c>
      <c r="Q391" s="9">
        <v>1.10951660567179</v>
      </c>
      <c r="R391" s="9">
        <v>1.098039415868229</v>
      </c>
      <c r="S391" s="9">
        <v>1.095186252938392</v>
      </c>
      <c r="T391" s="9">
        <v>1.111849471278554</v>
      </c>
      <c r="U391" s="9">
        <v>1.116010044737047</v>
      </c>
      <c r="V391" s="9">
        <v>1.104963054461183</v>
      </c>
      <c r="W391" s="9">
        <v>1.113413906269911</v>
      </c>
      <c r="X391" s="9">
        <v>1.105416762174488</v>
      </c>
      <c r="Y391" s="9">
        <v>1.111020772721403</v>
      </c>
      <c r="Z391" s="9">
        <v>1.145477580705683</v>
      </c>
      <c r="AA391" s="9">
        <v>1.100472520565764</v>
      </c>
      <c r="AB391" s="9">
        <v>1.091353766208569</v>
      </c>
      <c r="AC391" s="9">
        <v>1.124105012098212</v>
      </c>
      <c r="AD391" s="9">
        <v>1.096877674501171</v>
      </c>
      <c r="AE391" s="9">
        <v>1.091166685268676</v>
      </c>
      <c r="AF391" s="9">
        <v>1.113066440247894</v>
      </c>
      <c r="AG391" s="9">
        <v>1.095263175919355</v>
      </c>
      <c r="AH391" s="9">
        <v>1.136983442811567</v>
      </c>
      <c r="AI391" s="9">
        <v>1.117402533065669</v>
      </c>
      <c r="AJ391" s="9">
        <v>1.079617980329823</v>
      </c>
      <c r="AK391" s="9">
        <v>1.110806611299147</v>
      </c>
      <c r="AL391" s="9">
        <v>1.083589624484188</v>
      </c>
      <c r="AM391" s="9">
        <v>1.140168709143031</v>
      </c>
      <c r="AN391" s="9">
        <v>1.101345034059356</v>
      </c>
      <c r="AO391" s="9">
        <v>1.128920605686658</v>
      </c>
      <c r="AP391" s="9">
        <v>1.081761600114237</v>
      </c>
      <c r="AQ391" s="9">
        <v>1.138086442522833</v>
      </c>
      <c r="AR391" s="9">
        <v>1.134981392962315</v>
      </c>
      <c r="AS391" s="9">
        <v>1.087304299878484</v>
      </c>
      <c r="AT391" s="9">
        <v>1.106292421695617</v>
      </c>
      <c r="AU391" s="9">
        <v>1.118158946112843</v>
      </c>
      <c r="AV391" s="9">
        <v>1.093051606171813</v>
      </c>
      <c r="AW391" s="9">
        <v>1.110557606132063</v>
      </c>
    </row>
    <row r="392" ht="15.0" customHeight="1">
      <c r="A392" s="5" t="s">
        <v>839</v>
      </c>
      <c r="B392" s="5" t="s">
        <v>840</v>
      </c>
      <c r="C392" s="5" t="s">
        <v>571</v>
      </c>
      <c r="D392" s="5" t="s">
        <v>52</v>
      </c>
      <c r="E392" s="5">
        <v>5.5</v>
      </c>
      <c r="F392" s="6"/>
      <c r="G392" s="5"/>
      <c r="H392" s="5">
        <v>1370.0</v>
      </c>
      <c r="I392" s="5" t="b">
        <v>1</v>
      </c>
      <c r="J392" s="5" t="b">
        <v>0</v>
      </c>
      <c r="K392" s="7">
        <v>74.05</v>
      </c>
      <c r="L392" s="8">
        <v>0.0615412799603178</v>
      </c>
      <c r="M392" s="9">
        <f t="shared" si="1"/>
        <v>2.966091592</v>
      </c>
      <c r="N392" s="7">
        <f t="shared" si="2"/>
        <v>100.8471141</v>
      </c>
      <c r="O392" s="9">
        <f t="shared" si="3"/>
        <v>18.33583893</v>
      </c>
      <c r="P392" s="9">
        <v>3.272155809429572</v>
      </c>
      <c r="Q392" s="9">
        <v>2.97534833202339</v>
      </c>
      <c r="R392" s="9">
        <v>2.812999420593236</v>
      </c>
      <c r="S392" s="9">
        <v>2.805054175865664</v>
      </c>
      <c r="T392" s="9">
        <v>2.939005152367796</v>
      </c>
      <c r="U392" s="9">
        <v>3.016603155603894</v>
      </c>
      <c r="V392" s="9">
        <v>2.975806861782305</v>
      </c>
      <c r="W392" s="9">
        <v>3.009596499720644</v>
      </c>
      <c r="X392" s="9">
        <v>2.92006488771348</v>
      </c>
      <c r="Y392" s="9">
        <v>3.039158399080909</v>
      </c>
      <c r="Z392" s="9">
        <v>3.425310564371311</v>
      </c>
      <c r="AA392" s="9">
        <v>2.803878170244343</v>
      </c>
      <c r="AB392" s="9">
        <v>2.727725895269342</v>
      </c>
      <c r="AC392" s="9">
        <v>3.197553803150858</v>
      </c>
      <c r="AD392" s="9">
        <v>2.75963240153987</v>
      </c>
      <c r="AE392" s="9">
        <v>2.709736931866459</v>
      </c>
      <c r="AF392" s="9">
        <v>2.991172547160236</v>
      </c>
      <c r="AG392" s="9">
        <v>2.73350220781766</v>
      </c>
      <c r="AH392" s="9">
        <v>3.406974283558246</v>
      </c>
      <c r="AI392" s="9">
        <v>3.044222334592352</v>
      </c>
      <c r="AJ392" s="9">
        <v>2.574650449929374</v>
      </c>
      <c r="AK392" s="9">
        <v>3.009435203508195</v>
      </c>
      <c r="AL392" s="9">
        <v>2.578504482296751</v>
      </c>
      <c r="AM392" s="9">
        <v>3.378362980574299</v>
      </c>
      <c r="AN392" s="9">
        <v>2.871949667818425</v>
      </c>
      <c r="AO392" s="9">
        <v>3.323219956508245</v>
      </c>
      <c r="AP392" s="9">
        <v>2.581845163514158</v>
      </c>
      <c r="AQ392" s="9">
        <v>3.290426888482508</v>
      </c>
      <c r="AR392" s="9">
        <v>3.331960796497957</v>
      </c>
      <c r="AS392" s="9">
        <v>2.660643899293858</v>
      </c>
      <c r="AT392" s="9">
        <v>2.928735887158948</v>
      </c>
      <c r="AU392" s="9">
        <v>3.051932377148701</v>
      </c>
      <c r="AV392" s="9">
        <v>2.714241477603955</v>
      </c>
      <c r="AW392" s="9">
        <v>2.985703078285157</v>
      </c>
    </row>
    <row r="393" ht="15.0" customHeight="1">
      <c r="A393" s="5" t="s">
        <v>841</v>
      </c>
      <c r="B393" s="5" t="s">
        <v>842</v>
      </c>
      <c r="C393" s="5" t="s">
        <v>571</v>
      </c>
      <c r="D393" s="5" t="s">
        <v>56</v>
      </c>
      <c r="E393" s="5">
        <v>5.0</v>
      </c>
      <c r="F393" s="6"/>
      <c r="G393" s="5"/>
      <c r="H393" s="5">
        <v>2068.0</v>
      </c>
      <c r="I393" s="5" t="b">
        <v>1</v>
      </c>
      <c r="J393" s="5" t="b">
        <v>0</v>
      </c>
      <c r="K393" s="7">
        <v>73.02</v>
      </c>
      <c r="L393" s="8">
        <v>0.08819851833843415</v>
      </c>
      <c r="M393" s="9">
        <f t="shared" si="1"/>
        <v>2.691090123</v>
      </c>
      <c r="N393" s="7">
        <f t="shared" si="2"/>
        <v>91.49706418</v>
      </c>
      <c r="O393" s="9">
        <f t="shared" si="3"/>
        <v>18.29941284</v>
      </c>
      <c r="P393" s="9">
        <v>2.88046938359501</v>
      </c>
      <c r="Q393" s="9">
        <v>2.691260067508689</v>
      </c>
      <c r="R393" s="9">
        <v>2.58869778812188</v>
      </c>
      <c r="S393" s="9">
        <v>2.563201399323351</v>
      </c>
      <c r="T393" s="9">
        <v>2.712106983716223</v>
      </c>
      <c r="U393" s="9">
        <v>2.749286633505314</v>
      </c>
      <c r="V393" s="9">
        <v>2.650568696235944</v>
      </c>
      <c r="W393" s="9">
        <v>2.726087062586774</v>
      </c>
      <c r="X393" s="9">
        <v>2.654623111824467</v>
      </c>
      <c r="Y393" s="9">
        <v>2.704701580965146</v>
      </c>
      <c r="Z393" s="9">
        <v>3.012613955662044</v>
      </c>
      <c r="AA393" s="9">
        <v>2.610440459284161</v>
      </c>
      <c r="AB393" s="9">
        <v>2.528953592895307</v>
      </c>
      <c r="AC393" s="9">
        <v>2.821624750965514</v>
      </c>
      <c r="AD393" s="9">
        <v>2.578316253556116</v>
      </c>
      <c r="AE393" s="9">
        <v>2.52728180320169</v>
      </c>
      <c r="AF393" s="9">
        <v>2.722982042295442</v>
      </c>
      <c r="AG393" s="9">
        <v>2.563888797231715</v>
      </c>
      <c r="AH393" s="9">
        <v>2.936708776889437</v>
      </c>
      <c r="AI393" s="9">
        <v>2.761730165366982</v>
      </c>
      <c r="AJ393" s="9">
        <v>2.424080451410241</v>
      </c>
      <c r="AK393" s="9">
        <v>2.702787795099512</v>
      </c>
      <c r="AL393" s="9">
        <v>2.459571794182898</v>
      </c>
      <c r="AM393" s="9">
        <v>2.965172902777432</v>
      </c>
      <c r="AN393" s="9">
        <v>2.618237400367312</v>
      </c>
      <c r="AO393" s="9">
        <v>2.864657781130989</v>
      </c>
      <c r="AP393" s="9">
        <v>2.443236232136281</v>
      </c>
      <c r="AQ393" s="9">
        <v>2.946565385213132</v>
      </c>
      <c r="AR393" s="9">
        <v>2.918818091146693</v>
      </c>
      <c r="AS393" s="9">
        <v>2.492766816844529</v>
      </c>
      <c r="AT393" s="9">
        <v>2.662448166388422</v>
      </c>
      <c r="AU393" s="9">
        <v>2.768489611503526</v>
      </c>
      <c r="AV393" s="9">
        <v>2.544125803135331</v>
      </c>
      <c r="AW393" s="9">
        <v>2.700562639120362</v>
      </c>
    </row>
    <row r="394" ht="15.0" customHeight="1">
      <c r="A394" s="5" t="s">
        <v>843</v>
      </c>
      <c r="B394" s="5" t="s">
        <v>844</v>
      </c>
      <c r="C394" s="5" t="s">
        <v>571</v>
      </c>
      <c r="D394" s="5" t="s">
        <v>56</v>
      </c>
      <c r="E394" s="5">
        <v>5.0</v>
      </c>
      <c r="F394" s="6">
        <v>0.06896551724</v>
      </c>
      <c r="G394" s="5">
        <v>71.0</v>
      </c>
      <c r="H394" s="5">
        <v>361.0</v>
      </c>
      <c r="I394" s="5" t="b">
        <v>0</v>
      </c>
      <c r="J394" s="5" t="b">
        <v>0</v>
      </c>
      <c r="K394" s="7">
        <v>27.2227586206248</v>
      </c>
      <c r="L394" s="8">
        <v>0.07607303737123743</v>
      </c>
      <c r="M394" s="9">
        <f t="shared" si="1"/>
        <v>1.124773235</v>
      </c>
      <c r="N394" s="7">
        <f t="shared" si="2"/>
        <v>38.24228998</v>
      </c>
      <c r="O394" s="9">
        <f t="shared" si="3"/>
        <v>7.648457996</v>
      </c>
      <c r="P394" s="9">
        <v>0.0</v>
      </c>
      <c r="Q394" s="9">
        <v>0.0</v>
      </c>
      <c r="R394" s="9">
        <v>1.17822411152289</v>
      </c>
      <c r="S394" s="9">
        <v>1.173771391036735</v>
      </c>
      <c r="T394" s="9">
        <v>1.199776444198121</v>
      </c>
      <c r="U394" s="9">
        <v>1.206269543655937</v>
      </c>
      <c r="V394" s="9">
        <v>1.189029322497413</v>
      </c>
      <c r="W394" s="9">
        <v>1.202217942250134</v>
      </c>
      <c r="X394" s="9">
        <v>1.189737390588665</v>
      </c>
      <c r="Y394" s="9">
        <v>1.198483155615236</v>
      </c>
      <c r="Z394" s="9">
        <v>1.252257348877963</v>
      </c>
      <c r="AA394" s="9">
        <v>1.182021278175511</v>
      </c>
      <c r="AB394" s="9">
        <v>1.167790312285031</v>
      </c>
      <c r="AC394" s="9">
        <v>1.218902760857408</v>
      </c>
      <c r="AD394" s="9">
        <v>1.176411067644246</v>
      </c>
      <c r="AE394" s="9">
        <v>1.16749834889068</v>
      </c>
      <c r="AF394" s="9">
        <v>1.201675677713364</v>
      </c>
      <c r="AG394" s="9">
        <v>1.173891439047176</v>
      </c>
      <c r="AH394" s="9">
        <v>1.239001175731372</v>
      </c>
      <c r="AI394" s="9">
        <v>1.208442697261273</v>
      </c>
      <c r="AJ394" s="9">
        <v>1.149475138743082</v>
      </c>
      <c r="AK394" s="9">
        <v>1.198148929713781</v>
      </c>
      <c r="AL394" s="9">
        <v>1.155673390201113</v>
      </c>
      <c r="AM394" s="9">
        <v>1.243972185448219</v>
      </c>
      <c r="AN394" s="9">
        <v>1.183382945491014</v>
      </c>
      <c r="AO394" s="9">
        <v>1.226418101814643</v>
      </c>
      <c r="AP394" s="9">
        <v>1.152820527689774</v>
      </c>
      <c r="AQ394" s="9">
        <v>1.240722545849852</v>
      </c>
      <c r="AR394" s="9">
        <v>1.235876724518003</v>
      </c>
      <c r="AS394" s="9">
        <v>1.161470609509769</v>
      </c>
      <c r="AT394" s="9">
        <v>1.191103967676798</v>
      </c>
      <c r="AU394" s="9">
        <v>1.209623175191896</v>
      </c>
      <c r="AV394" s="9">
        <v>1.170440005615717</v>
      </c>
      <c r="AW394" s="9">
        <v>1.197760325755332</v>
      </c>
    </row>
    <row r="395" ht="15.0" customHeight="1">
      <c r="A395" s="5" t="s">
        <v>845</v>
      </c>
      <c r="B395" s="5" t="s">
        <v>846</v>
      </c>
      <c r="C395" s="5" t="s">
        <v>281</v>
      </c>
      <c r="D395" s="5" t="s">
        <v>103</v>
      </c>
      <c r="E395" s="5">
        <v>4.5</v>
      </c>
      <c r="F395" s="6">
        <v>1.0</v>
      </c>
      <c r="G395" s="5">
        <v>90.0</v>
      </c>
      <c r="H395" s="5">
        <v>3345.0</v>
      </c>
      <c r="I395" s="5" t="b">
        <v>1</v>
      </c>
      <c r="J395" s="5" t="b">
        <v>0</v>
      </c>
      <c r="K395" s="7">
        <v>90.0</v>
      </c>
      <c r="L395" s="8">
        <v>0.07856422148971241</v>
      </c>
      <c r="M395" s="9">
        <f t="shared" si="1"/>
        <v>3.828407836</v>
      </c>
      <c r="N395" s="7">
        <f t="shared" si="2"/>
        <v>130.1658664</v>
      </c>
      <c r="O395" s="9">
        <f t="shared" si="3"/>
        <v>28.92574809</v>
      </c>
      <c r="P395" s="9">
        <v>3.814664527198794</v>
      </c>
      <c r="Q395" s="9">
        <v>3.798077183890028</v>
      </c>
      <c r="R395" s="9">
        <v>0.0</v>
      </c>
      <c r="S395" s="9">
        <v>3.814995031582987</v>
      </c>
      <c r="T395" s="9">
        <v>3.954713591643042</v>
      </c>
      <c r="U395" s="9">
        <v>7.458436801958449</v>
      </c>
      <c r="V395" s="9">
        <v>3.984369034652008</v>
      </c>
      <c r="W395" s="9">
        <v>3.748283785324729</v>
      </c>
      <c r="X395" s="9">
        <v>3.797406452423309</v>
      </c>
      <c r="Y395" s="9">
        <v>4.086370980375388</v>
      </c>
      <c r="Z395" s="9">
        <v>3.702290410504398</v>
      </c>
      <c r="AA395" s="9">
        <v>3.975749263142553</v>
      </c>
      <c r="AB395" s="9">
        <v>3.716231644008277</v>
      </c>
      <c r="AC395" s="9">
        <v>3.72302585720282</v>
      </c>
      <c r="AD395" s="9">
        <v>3.768026092688374</v>
      </c>
      <c r="AE395" s="9">
        <v>4.080771255389736</v>
      </c>
      <c r="AF395" s="9">
        <v>3.758773511457271</v>
      </c>
      <c r="AG395" s="9">
        <v>3.825690260745582</v>
      </c>
      <c r="AH395" s="9">
        <v>3.892166563033409</v>
      </c>
      <c r="AI395" s="9">
        <v>3.721508941910558</v>
      </c>
      <c r="AJ395" s="9">
        <v>3.736833172730124</v>
      </c>
      <c r="AK395" s="9">
        <v>3.939097317108496</v>
      </c>
      <c r="AL395" s="9">
        <v>3.729273787971154</v>
      </c>
      <c r="AM395" s="9">
        <v>3.802154288993325</v>
      </c>
      <c r="AN395" s="9">
        <v>3.820370000400643</v>
      </c>
      <c r="AO395" s="9">
        <v>3.789991910828527</v>
      </c>
      <c r="AP395" s="9">
        <v>3.888262543459604</v>
      </c>
      <c r="AQ395" s="9">
        <v>3.85383404935487</v>
      </c>
      <c r="AR395" s="9">
        <v>3.8070275107015</v>
      </c>
      <c r="AS395" s="9">
        <v>3.807101139320372</v>
      </c>
      <c r="AT395" s="9">
        <v>3.708207807481966</v>
      </c>
      <c r="AU395" s="9">
        <v>3.87043214063893</v>
      </c>
      <c r="AV395" s="9">
        <v>3.825554377872954</v>
      </c>
      <c r="AW395" s="9">
        <v>3.966175189582251</v>
      </c>
    </row>
    <row r="396" ht="15.0" customHeight="1">
      <c r="A396" s="5" t="s">
        <v>847</v>
      </c>
      <c r="B396" s="5" t="s">
        <v>848</v>
      </c>
      <c r="C396" s="5" t="s">
        <v>281</v>
      </c>
      <c r="D396" s="5" t="s">
        <v>103</v>
      </c>
      <c r="E396" s="5">
        <v>4.0</v>
      </c>
      <c r="F396" s="6">
        <v>0.07894736842</v>
      </c>
      <c r="G396" s="5">
        <v>90.0</v>
      </c>
      <c r="H396" s="5">
        <v>289.0</v>
      </c>
      <c r="I396" s="5" t="b">
        <v>0</v>
      </c>
      <c r="J396" s="5" t="b">
        <v>0</v>
      </c>
      <c r="K396" s="7">
        <v>7.1052631578</v>
      </c>
      <c r="L396" s="8">
        <v>0.03600291663642018</v>
      </c>
      <c r="M396" s="9">
        <f t="shared" si="1"/>
        <v>1.009797784</v>
      </c>
      <c r="N396" s="7">
        <f t="shared" si="2"/>
        <v>34.33312467</v>
      </c>
      <c r="O396" s="9">
        <f t="shared" si="3"/>
        <v>8.583281168</v>
      </c>
      <c r="P396" s="9">
        <v>1.00979778449378</v>
      </c>
      <c r="Q396" s="9">
        <v>1.00979778449378</v>
      </c>
      <c r="R396" s="9">
        <v>0.0</v>
      </c>
      <c r="S396" s="9">
        <v>1.00979778449378</v>
      </c>
      <c r="T396" s="9">
        <v>1.00979778449378</v>
      </c>
      <c r="U396" s="9">
        <v>2.019595568987561</v>
      </c>
      <c r="V396" s="9">
        <v>1.00979778449378</v>
      </c>
      <c r="W396" s="9">
        <v>1.00979778449378</v>
      </c>
      <c r="X396" s="9">
        <v>1.00979778449378</v>
      </c>
      <c r="Y396" s="9">
        <v>1.00979778449378</v>
      </c>
      <c r="Z396" s="9">
        <v>1.00979778449378</v>
      </c>
      <c r="AA396" s="9">
        <v>1.00979778449378</v>
      </c>
      <c r="AB396" s="9">
        <v>1.00979778449378</v>
      </c>
      <c r="AC396" s="9">
        <v>1.00979778449378</v>
      </c>
      <c r="AD396" s="9">
        <v>1.00979778449378</v>
      </c>
      <c r="AE396" s="9">
        <v>1.00979778449378</v>
      </c>
      <c r="AF396" s="9">
        <v>1.00979778449378</v>
      </c>
      <c r="AG396" s="9">
        <v>1.00979778449378</v>
      </c>
      <c r="AH396" s="9">
        <v>1.00979778449378</v>
      </c>
      <c r="AI396" s="9">
        <v>1.00979778449378</v>
      </c>
      <c r="AJ396" s="9">
        <v>1.00979778449378</v>
      </c>
      <c r="AK396" s="9">
        <v>1.00979778449378</v>
      </c>
      <c r="AL396" s="9">
        <v>1.00979778449378</v>
      </c>
      <c r="AM396" s="9">
        <v>1.00979778449378</v>
      </c>
      <c r="AN396" s="9">
        <v>1.00979778449378</v>
      </c>
      <c r="AO396" s="9">
        <v>1.00979778449378</v>
      </c>
      <c r="AP396" s="9">
        <v>1.00979778449378</v>
      </c>
      <c r="AQ396" s="9">
        <v>1.00979778449378</v>
      </c>
      <c r="AR396" s="9">
        <v>1.00979778449378</v>
      </c>
      <c r="AS396" s="9">
        <v>1.00979778449378</v>
      </c>
      <c r="AT396" s="9">
        <v>1.00979778449378</v>
      </c>
      <c r="AU396" s="9">
        <v>1.00979778449378</v>
      </c>
      <c r="AV396" s="9">
        <v>1.00979778449378</v>
      </c>
      <c r="AW396" s="9">
        <v>1.00979778449378</v>
      </c>
    </row>
    <row r="397" ht="15.0" customHeight="1">
      <c r="A397" s="5" t="s">
        <v>849</v>
      </c>
      <c r="B397" s="5" t="s">
        <v>850</v>
      </c>
      <c r="C397" s="5" t="s">
        <v>281</v>
      </c>
      <c r="D397" s="5" t="s">
        <v>103</v>
      </c>
      <c r="E397" s="5">
        <v>4.0</v>
      </c>
      <c r="F397" s="6"/>
      <c r="G397" s="5"/>
      <c r="H397" s="5">
        <v>3345.0</v>
      </c>
      <c r="I397" s="5" t="b">
        <v>0</v>
      </c>
      <c r="J397" s="5" t="b">
        <v>0</v>
      </c>
      <c r="K397" s="7">
        <v>0.0</v>
      </c>
      <c r="L397" s="8">
        <v>0.0787893435934126</v>
      </c>
      <c r="M397" s="9">
        <f t="shared" si="1"/>
        <v>0</v>
      </c>
      <c r="N397" s="7">
        <f t="shared" si="2"/>
        <v>0</v>
      </c>
      <c r="O397" s="9">
        <f t="shared" si="3"/>
        <v>0</v>
      </c>
      <c r="P397" s="9">
        <v>0.0</v>
      </c>
      <c r="Q397" s="9">
        <v>0.0</v>
      </c>
      <c r="R397" s="9">
        <v>0.0</v>
      </c>
      <c r="S397" s="9">
        <v>0.0</v>
      </c>
      <c r="T397" s="9">
        <v>0.0</v>
      </c>
      <c r="U397" s="9">
        <v>0.0</v>
      </c>
      <c r="V397" s="9">
        <v>0.0</v>
      </c>
      <c r="W397" s="9">
        <v>0.0</v>
      </c>
      <c r="X397" s="9">
        <v>0.0</v>
      </c>
      <c r="Y397" s="9">
        <v>0.0</v>
      </c>
      <c r="Z397" s="9">
        <v>0.0</v>
      </c>
      <c r="AA397" s="9">
        <v>0.0</v>
      </c>
      <c r="AB397" s="9">
        <v>0.0</v>
      </c>
      <c r="AC397" s="9">
        <v>0.0</v>
      </c>
      <c r="AD397" s="9">
        <v>0.0</v>
      </c>
      <c r="AE397" s="9">
        <v>0.0</v>
      </c>
      <c r="AF397" s="9">
        <v>0.0</v>
      </c>
      <c r="AG397" s="9">
        <v>0.0</v>
      </c>
      <c r="AH397" s="9">
        <v>0.0</v>
      </c>
      <c r="AI397" s="9">
        <v>0.0</v>
      </c>
      <c r="AJ397" s="9">
        <v>0.0</v>
      </c>
      <c r="AK397" s="9">
        <v>0.0</v>
      </c>
      <c r="AL397" s="9">
        <v>0.0</v>
      </c>
      <c r="AM397" s="9">
        <v>0.0</v>
      </c>
      <c r="AN397" s="9">
        <v>0.0</v>
      </c>
      <c r="AO397" s="9">
        <v>0.0</v>
      </c>
      <c r="AP397" s="9">
        <v>0.0</v>
      </c>
      <c r="AQ397" s="9">
        <v>0.0</v>
      </c>
      <c r="AR397" s="9">
        <v>0.0</v>
      </c>
      <c r="AS397" s="9">
        <v>0.0</v>
      </c>
      <c r="AT397" s="9">
        <v>0.0</v>
      </c>
      <c r="AU397" s="9">
        <v>0.0</v>
      </c>
      <c r="AV397" s="9">
        <v>0.0</v>
      </c>
      <c r="AW397" s="9">
        <v>0.0</v>
      </c>
    </row>
    <row r="398" ht="15.0" customHeight="1">
      <c r="A398" s="5" t="s">
        <v>851</v>
      </c>
      <c r="B398" s="5" t="s">
        <v>852</v>
      </c>
      <c r="C398" s="5" t="s">
        <v>281</v>
      </c>
      <c r="D398" s="5" t="s">
        <v>83</v>
      </c>
      <c r="E398" s="5">
        <v>4.5</v>
      </c>
      <c r="F398" s="6">
        <v>0.7</v>
      </c>
      <c r="G398" s="10">
        <v>81.0</v>
      </c>
      <c r="H398" s="5">
        <v>1263.0</v>
      </c>
      <c r="I398" s="5" t="b">
        <v>1</v>
      </c>
      <c r="J398" s="5" t="b">
        <v>0</v>
      </c>
      <c r="K398" s="7">
        <v>61.572</v>
      </c>
      <c r="L398" s="8">
        <v>0.0644240814621476</v>
      </c>
      <c r="M398" s="9">
        <f t="shared" si="1"/>
        <v>2.44658881</v>
      </c>
      <c r="N398" s="7">
        <f t="shared" si="2"/>
        <v>83.18401953</v>
      </c>
      <c r="O398" s="9">
        <f t="shared" si="3"/>
        <v>18.48533767</v>
      </c>
      <c r="P398" s="9">
        <v>2.46384432097088</v>
      </c>
      <c r="Q398" s="9">
        <v>2.40634027953101</v>
      </c>
      <c r="R398" s="9">
        <v>0.0</v>
      </c>
      <c r="S398" s="9">
        <v>2.466527733315367</v>
      </c>
      <c r="T398" s="9">
        <v>2.875941076756793</v>
      </c>
      <c r="U398" s="9">
        <v>4.168278626680644</v>
      </c>
      <c r="V398" s="9">
        <v>2.95497763904431</v>
      </c>
      <c r="W398" s="9">
        <v>2.172644959667363</v>
      </c>
      <c r="X398" s="9">
        <v>2.373207184397424</v>
      </c>
      <c r="Y398" s="9">
        <v>3.168796470022101</v>
      </c>
      <c r="Z398" s="9">
        <v>1.876275288989114</v>
      </c>
      <c r="AA398" s="9">
        <v>2.94770605991263</v>
      </c>
      <c r="AB398" s="9">
        <v>2.001942019497683</v>
      </c>
      <c r="AC398" s="9">
        <v>2.059698717820141</v>
      </c>
      <c r="AD398" s="9">
        <v>2.262897640665934</v>
      </c>
      <c r="AE398" s="9">
        <v>3.14470267135053</v>
      </c>
      <c r="AF398" s="9">
        <v>2.254439444844841</v>
      </c>
      <c r="AG398" s="9">
        <v>2.483692258218588</v>
      </c>
      <c r="AH398" s="9">
        <v>2.668809162691674</v>
      </c>
      <c r="AI398" s="9">
        <v>2.054904779416475</v>
      </c>
      <c r="AJ398" s="9">
        <v>2.139919389718362</v>
      </c>
      <c r="AK398" s="9">
        <v>2.822869058848278</v>
      </c>
      <c r="AL398" s="9">
        <v>2.097851077901479</v>
      </c>
      <c r="AM398" s="9">
        <v>2.413791952854827</v>
      </c>
      <c r="AN398" s="9">
        <v>2.473338773514731</v>
      </c>
      <c r="AO398" s="9">
        <v>2.335253996968367</v>
      </c>
      <c r="AP398" s="9">
        <v>2.649459476783596</v>
      </c>
      <c r="AQ398" s="9">
        <v>2.567912553054676</v>
      </c>
      <c r="AR398" s="9">
        <v>2.413537365991206</v>
      </c>
      <c r="AS398" s="9">
        <v>2.415646532375359</v>
      </c>
      <c r="AT398" s="9">
        <v>1.95337202865681</v>
      </c>
      <c r="AU398" s="9">
        <v>2.6763106793835</v>
      </c>
      <c r="AV398" s="9">
        <v>2.481003690404757</v>
      </c>
      <c r="AW398" s="9">
        <v>2.938126615103421</v>
      </c>
    </row>
    <row r="399" ht="15.0" customHeight="1">
      <c r="A399" s="5" t="s">
        <v>853</v>
      </c>
      <c r="B399" s="5" t="s">
        <v>854</v>
      </c>
      <c r="C399" s="5" t="s">
        <v>281</v>
      </c>
      <c r="D399" s="5" t="s">
        <v>83</v>
      </c>
      <c r="E399" s="5">
        <v>4.5</v>
      </c>
      <c r="F399" s="6">
        <v>0.7142857143</v>
      </c>
      <c r="G399" s="10">
        <v>89.0</v>
      </c>
      <c r="H399" s="5">
        <v>1507.0</v>
      </c>
      <c r="I399" s="5" t="b">
        <v>1</v>
      </c>
      <c r="J399" s="5" t="b">
        <v>0</v>
      </c>
      <c r="K399" s="7">
        <v>68.211428572468</v>
      </c>
      <c r="L399" s="8">
        <v>0.07566206387073159</v>
      </c>
      <c r="M399" s="9">
        <f t="shared" si="1"/>
        <v>2.796839762</v>
      </c>
      <c r="N399" s="7">
        <f t="shared" si="2"/>
        <v>95.09255192</v>
      </c>
      <c r="O399" s="9">
        <f t="shared" si="3"/>
        <v>21.1316782</v>
      </c>
      <c r="P399" s="9">
        <v>2.813193450481859</v>
      </c>
      <c r="Q399" s="9">
        <v>2.755269784677219</v>
      </c>
      <c r="R399" s="9">
        <v>0.0</v>
      </c>
      <c r="S399" s="9">
        <v>2.815803346250097</v>
      </c>
      <c r="T399" s="9">
        <v>3.227851948090235</v>
      </c>
      <c r="U399" s="9">
        <v>4.866544306191185</v>
      </c>
      <c r="V399" s="9">
        <v>3.307145146333402</v>
      </c>
      <c r="W399" s="9">
        <v>2.522427009063571</v>
      </c>
      <c r="X399" s="9">
        <v>2.723761452698668</v>
      </c>
      <c r="Y399" s="9">
        <v>3.523333146301561</v>
      </c>
      <c r="Z399" s="9">
        <v>2.22397373085911</v>
      </c>
      <c r="AA399" s="9">
        <v>3.299098347127712</v>
      </c>
      <c r="AB399" s="9">
        <v>2.351501989799238</v>
      </c>
      <c r="AC399" s="9">
        <v>2.4080596964581</v>
      </c>
      <c r="AD399" s="9">
        <v>2.612732368476976</v>
      </c>
      <c r="AE399" s="9">
        <v>3.499689315629919</v>
      </c>
      <c r="AF399" s="9">
        <v>2.602325412517427</v>
      </c>
      <c r="AG399" s="9">
        <v>2.834172576175265</v>
      </c>
      <c r="AH399" s="9">
        <v>3.021468005074027</v>
      </c>
      <c r="AI399" s="9">
        <v>2.40291736693721</v>
      </c>
      <c r="AJ399" s="9">
        <v>2.48812813077121</v>
      </c>
      <c r="AK399" s="9">
        <v>3.175106243873868</v>
      </c>
      <c r="AL399" s="9">
        <v>2.446099699313723</v>
      </c>
      <c r="AM399" s="9">
        <v>2.763196474062207</v>
      </c>
      <c r="AN399" s="9">
        <v>2.823325193777642</v>
      </c>
      <c r="AO399" s="9">
        <v>2.686236814320633</v>
      </c>
      <c r="AP399" s="9">
        <v>3.002443213323217</v>
      </c>
      <c r="AQ399" s="9">
        <v>2.919248525107126</v>
      </c>
      <c r="AR399" s="9">
        <v>2.763969193127557</v>
      </c>
      <c r="AS399" s="9">
        <v>2.765982724171563</v>
      </c>
      <c r="AT399" s="9">
        <v>2.302130577943061</v>
      </c>
      <c r="AU399" s="9">
        <v>3.025117994540054</v>
      </c>
      <c r="AV399" s="9">
        <v>2.83159578888749</v>
      </c>
      <c r="AW399" s="9">
        <v>3.288702949377041</v>
      </c>
    </row>
    <row r="400" ht="15.0" customHeight="1">
      <c r="A400" s="5" t="s">
        <v>855</v>
      </c>
      <c r="B400" s="5" t="s">
        <v>856</v>
      </c>
      <c r="C400" s="5" t="s">
        <v>281</v>
      </c>
      <c r="D400" s="5" t="s">
        <v>83</v>
      </c>
      <c r="E400" s="5">
        <v>4.0</v>
      </c>
      <c r="F400" s="6">
        <v>1.0</v>
      </c>
      <c r="G400" s="10">
        <v>77.0</v>
      </c>
      <c r="H400" s="5">
        <v>2339.0</v>
      </c>
      <c r="I400" s="5" t="b">
        <v>1</v>
      </c>
      <c r="J400" s="5" t="b">
        <v>0</v>
      </c>
      <c r="K400" s="7">
        <v>77.0</v>
      </c>
      <c r="L400" s="8">
        <v>0.07374312191176051</v>
      </c>
      <c r="M400" s="9">
        <f t="shared" si="1"/>
        <v>3.102534782</v>
      </c>
      <c r="N400" s="7">
        <f t="shared" si="2"/>
        <v>105.4861826</v>
      </c>
      <c r="O400" s="9">
        <f t="shared" si="3"/>
        <v>26.37154565</v>
      </c>
      <c r="P400" s="9">
        <v>3.130946505100807</v>
      </c>
      <c r="Q400" s="9">
        <v>3.071035537597413</v>
      </c>
      <c r="R400" s="9">
        <v>0.0</v>
      </c>
      <c r="S400" s="9">
        <v>3.134687398163431</v>
      </c>
      <c r="T400" s="9">
        <v>3.564814620405384</v>
      </c>
      <c r="U400" s="9">
        <v>5.418827841661948</v>
      </c>
      <c r="V400" s="9">
        <v>3.650409321495685</v>
      </c>
      <c r="W400" s="9">
        <v>2.801590032979135</v>
      </c>
      <c r="X400" s="9">
        <v>3.017565858724888</v>
      </c>
      <c r="Y400" s="9">
        <v>3.864966009687004</v>
      </c>
      <c r="Z400" s="9">
        <v>2.492012361816638</v>
      </c>
      <c r="AA400" s="9">
        <v>3.650164940528734</v>
      </c>
      <c r="AB400" s="9">
        <v>2.613350221270399</v>
      </c>
      <c r="AC400" s="9">
        <v>2.689975827637883</v>
      </c>
      <c r="AD400" s="9">
        <v>2.901771901739853</v>
      </c>
      <c r="AE400" s="9">
        <v>3.833510535670714</v>
      </c>
      <c r="AF400" s="9">
        <v>2.912117466774486</v>
      </c>
      <c r="AG400" s="9">
        <v>3.141611460404517</v>
      </c>
      <c r="AH400" s="9">
        <v>3.326073971476942</v>
      </c>
      <c r="AI400" s="9">
        <v>2.688163048706314</v>
      </c>
      <c r="AJ400" s="9">
        <v>2.781042935483661</v>
      </c>
      <c r="AK400" s="9">
        <v>3.50227653712431</v>
      </c>
      <c r="AL400" s="9">
        <v>2.733692299553491</v>
      </c>
      <c r="AM400" s="9">
        <v>3.074528656715764</v>
      </c>
      <c r="AN400" s="9">
        <v>3.135071782850069</v>
      </c>
      <c r="AO400" s="9">
        <v>2.970861574919574</v>
      </c>
      <c r="AP400" s="9">
        <v>3.301182436073955</v>
      </c>
      <c r="AQ400" s="9">
        <v>3.226909484971696</v>
      </c>
      <c r="AR400" s="9">
        <v>3.063815026435978</v>
      </c>
      <c r="AS400" s="9">
        <v>3.067139651335539</v>
      </c>
      <c r="AT400" s="9">
        <v>2.567285245273836</v>
      </c>
      <c r="AU400" s="9">
        <v>3.373547113445569</v>
      </c>
      <c r="AV400" s="9">
        <v>3.137476346733043</v>
      </c>
      <c r="AW400" s="9">
        <v>3.64775865001654</v>
      </c>
    </row>
    <row r="401" ht="15.0" customHeight="1">
      <c r="A401" s="5" t="s">
        <v>857</v>
      </c>
      <c r="B401" s="5" t="s">
        <v>858</v>
      </c>
      <c r="C401" s="5" t="s">
        <v>281</v>
      </c>
      <c r="D401" s="5" t="s">
        <v>83</v>
      </c>
      <c r="E401" s="5">
        <v>4.5</v>
      </c>
      <c r="F401" s="6">
        <v>0.9393939394</v>
      </c>
      <c r="G401" s="5">
        <v>89.0</v>
      </c>
      <c r="H401" s="5">
        <v>2945.0</v>
      </c>
      <c r="I401" s="5" t="b">
        <v>1</v>
      </c>
      <c r="J401" s="5" t="b">
        <v>0</v>
      </c>
      <c r="K401" s="7">
        <v>84.59030303074401</v>
      </c>
      <c r="L401" s="8">
        <v>0.06440733814353176</v>
      </c>
      <c r="M401" s="9">
        <f t="shared" si="1"/>
        <v>2.806494419</v>
      </c>
      <c r="N401" s="7">
        <f t="shared" si="2"/>
        <v>95.42081025</v>
      </c>
      <c r="O401" s="9">
        <f t="shared" si="3"/>
        <v>21.2046245</v>
      </c>
      <c r="P401" s="9">
        <v>2.816384283241594</v>
      </c>
      <c r="Q401" s="9">
        <v>2.760155081106103</v>
      </c>
      <c r="R401" s="9">
        <v>0.0</v>
      </c>
      <c r="S401" s="9">
        <v>2.818375639761964</v>
      </c>
      <c r="T401" s="9">
        <v>3.216318360260309</v>
      </c>
      <c r="U401" s="9">
        <v>4.924908411234934</v>
      </c>
      <c r="V401" s="9">
        <v>3.291427643479449</v>
      </c>
      <c r="W401" s="9">
        <v>2.549020531531446</v>
      </c>
      <c r="X401" s="9">
        <v>2.740438969336279</v>
      </c>
      <c r="Y401" s="9">
        <v>3.506002145615745</v>
      </c>
      <c r="Z401" s="9">
        <v>2.259758641581016</v>
      </c>
      <c r="AA401" s="9">
        <v>3.279410499854756</v>
      </c>
      <c r="AB401" s="9">
        <v>2.389056901995393</v>
      </c>
      <c r="AC401" s="9">
        <v>2.43452277691944</v>
      </c>
      <c r="AD401" s="9">
        <v>2.633155345502843</v>
      </c>
      <c r="AE401" s="9">
        <v>3.486694475881607</v>
      </c>
      <c r="AF401" s="9">
        <v>2.612062986701002</v>
      </c>
      <c r="AG401" s="9">
        <v>2.842494072379473</v>
      </c>
      <c r="AH401" s="9">
        <v>3.029130709689524</v>
      </c>
      <c r="AI401" s="9">
        <v>2.427705632623198</v>
      </c>
      <c r="AJ401" s="9">
        <v>2.507953073768613</v>
      </c>
      <c r="AK401" s="9">
        <v>3.169271529770497</v>
      </c>
      <c r="AL401" s="9">
        <v>2.469174212033956</v>
      </c>
      <c r="AM401" s="9">
        <v>2.770299629343378</v>
      </c>
      <c r="AN401" s="9">
        <v>2.829527629847948</v>
      </c>
      <c r="AO401" s="9">
        <v>2.708120814219331</v>
      </c>
      <c r="AP401" s="9">
        <v>3.013376926619712</v>
      </c>
      <c r="AQ401" s="9">
        <v>2.926485237050767</v>
      </c>
      <c r="AR401" s="9">
        <v>2.77704344688349</v>
      </c>
      <c r="AS401" s="9">
        <v>2.778351472399093</v>
      </c>
      <c r="AT401" s="9">
        <v>2.338526558700933</v>
      </c>
      <c r="AU401" s="9">
        <v>3.009924375129331</v>
      </c>
      <c r="AV401" s="9">
        <v>2.840757918703752</v>
      </c>
      <c r="AW401" s="9">
        <v>3.264974320445463</v>
      </c>
    </row>
    <row r="402" ht="15.0" customHeight="1">
      <c r="A402" s="5" t="s">
        <v>859</v>
      </c>
      <c r="B402" s="5" t="s">
        <v>860</v>
      </c>
      <c r="C402" s="5" t="s">
        <v>281</v>
      </c>
      <c r="D402" s="5" t="s">
        <v>83</v>
      </c>
      <c r="E402" s="5">
        <v>4.0</v>
      </c>
      <c r="F402" s="6">
        <v>0.1176470588</v>
      </c>
      <c r="G402" s="10">
        <v>68.0</v>
      </c>
      <c r="H402" s="5">
        <v>440.0</v>
      </c>
      <c r="I402" s="5" t="b">
        <v>0</v>
      </c>
      <c r="J402" s="5" t="b">
        <v>0</v>
      </c>
      <c r="K402" s="7">
        <v>22.329411763488</v>
      </c>
      <c r="L402" s="8">
        <v>0.04960291392171005</v>
      </c>
      <c r="M402" s="9">
        <f t="shared" si="1"/>
        <v>0.9028649679</v>
      </c>
      <c r="N402" s="7">
        <f t="shared" si="2"/>
        <v>30.69740891</v>
      </c>
      <c r="O402" s="9">
        <f t="shared" si="3"/>
        <v>7.674352227</v>
      </c>
      <c r="P402" s="9">
        <v>0.9041352831878949</v>
      </c>
      <c r="Q402" s="9">
        <v>0.9039155661111341</v>
      </c>
      <c r="R402" s="9">
        <v>0.0</v>
      </c>
      <c r="S402" s="9">
        <v>0.9042546356163016</v>
      </c>
      <c r="T402" s="9">
        <v>0.9062318771626581</v>
      </c>
      <c r="U402" s="9">
        <v>1.799381759668083</v>
      </c>
      <c r="V402" s="9">
        <v>0.9069090053296839</v>
      </c>
      <c r="W402" s="9">
        <v>0.9000251166684147</v>
      </c>
      <c r="X402" s="9">
        <v>0.9016016125859658</v>
      </c>
      <c r="Y402" s="9">
        <v>0.9067780937252673</v>
      </c>
      <c r="Z402" s="9">
        <v>0.8988000331340148</v>
      </c>
      <c r="AA402" s="9">
        <v>0.9077274983281778</v>
      </c>
      <c r="AB402" s="9">
        <v>0.898173357832258</v>
      </c>
      <c r="AC402" s="9">
        <v>0.9002930143777627</v>
      </c>
      <c r="AD402" s="9">
        <v>0.9010800277719941</v>
      </c>
      <c r="AE402" s="9">
        <v>0.9059526896208152</v>
      </c>
      <c r="AF402" s="9">
        <v>0.9032590801505991</v>
      </c>
      <c r="AG402" s="9">
        <v>0.9030552401415145</v>
      </c>
      <c r="AH402" s="9">
        <v>0.9027926277587528</v>
      </c>
      <c r="AI402" s="9">
        <v>0.9006419721607437</v>
      </c>
      <c r="AJ402" s="9">
        <v>0.9014639409729934</v>
      </c>
      <c r="AK402" s="9">
        <v>0.9051928497540287</v>
      </c>
      <c r="AL402" s="9">
        <v>0.9008967196523671</v>
      </c>
      <c r="AM402" s="9">
        <v>0.903451102488565</v>
      </c>
      <c r="AN402" s="9">
        <v>0.9035059282397487</v>
      </c>
      <c r="AO402" s="9">
        <v>0.9006298346855737</v>
      </c>
      <c r="AP402" s="9">
        <v>0.9021724905244097</v>
      </c>
      <c r="AQ402" s="9">
        <v>0.9030945300129523</v>
      </c>
      <c r="AR402" s="9">
        <v>0.9022440798730759</v>
      </c>
      <c r="AS402" s="9">
        <v>0.9023822478894721</v>
      </c>
      <c r="AT402" s="9">
        <v>0.8985115939689906</v>
      </c>
      <c r="AU402" s="9">
        <v>0.9073989429461162</v>
      </c>
      <c r="AV402" s="9">
        <v>0.9028909834125088</v>
      </c>
      <c r="AW402" s="9">
        <v>0.9085651712311884</v>
      </c>
    </row>
    <row r="403" ht="15.0" customHeight="1">
      <c r="A403" s="5" t="s">
        <v>861</v>
      </c>
      <c r="B403" s="5" t="s">
        <v>862</v>
      </c>
      <c r="C403" s="5" t="s">
        <v>281</v>
      </c>
      <c r="D403" s="5" t="s">
        <v>83</v>
      </c>
      <c r="E403" s="5">
        <v>4.0</v>
      </c>
      <c r="F403" s="6">
        <v>0.2142857143</v>
      </c>
      <c r="G403" s="10">
        <v>86.0</v>
      </c>
      <c r="H403" s="5">
        <v>309.0</v>
      </c>
      <c r="I403" s="5" t="b">
        <v>0</v>
      </c>
      <c r="J403" s="5" t="b">
        <v>0</v>
      </c>
      <c r="K403" s="7">
        <v>31.188571429568</v>
      </c>
      <c r="L403" s="8">
        <v>0.07339165113510392</v>
      </c>
      <c r="M403" s="9">
        <f t="shared" si="1"/>
        <v>1.037208272</v>
      </c>
      <c r="N403" s="7">
        <f t="shared" si="2"/>
        <v>35.26508123</v>
      </c>
      <c r="O403" s="9">
        <f t="shared" si="3"/>
        <v>8.816270308</v>
      </c>
      <c r="P403" s="9">
        <v>1.044726116775844</v>
      </c>
      <c r="Q403" s="9">
        <v>1.043425810519353</v>
      </c>
      <c r="R403" s="9">
        <v>0.0</v>
      </c>
      <c r="S403" s="9">
        <v>1.045432455635218</v>
      </c>
      <c r="T403" s="9">
        <v>1.057133956452643</v>
      </c>
      <c r="U403" s="9">
        <v>2.036847442221149</v>
      </c>
      <c r="V403" s="9">
        <v>1.061141264418912</v>
      </c>
      <c r="W403" s="9">
        <v>1.020401766027663</v>
      </c>
      <c r="X403" s="9">
        <v>1.029731616648031</v>
      </c>
      <c r="Y403" s="9">
        <v>1.060366517272357</v>
      </c>
      <c r="Z403" s="9">
        <v>1.013151606832086</v>
      </c>
      <c r="AA403" s="9">
        <v>1.065985182709311</v>
      </c>
      <c r="AB403" s="9">
        <v>1.009442883651917</v>
      </c>
      <c r="AC403" s="9">
        <v>1.021987209784244</v>
      </c>
      <c r="AD403" s="9">
        <v>1.026644828825728</v>
      </c>
      <c r="AE403" s="9">
        <v>1.055481698409053</v>
      </c>
      <c r="AF403" s="9">
        <v>1.039540665066091</v>
      </c>
      <c r="AG403" s="9">
        <v>1.038334320784422</v>
      </c>
      <c r="AH403" s="9">
        <v>1.036780156086024</v>
      </c>
      <c r="AI403" s="9">
        <v>1.024052374655134</v>
      </c>
      <c r="AJ403" s="9">
        <v>1.028916863137162</v>
      </c>
      <c r="AK403" s="9">
        <v>1.050984894850227</v>
      </c>
      <c r="AL403" s="9">
        <v>1.025559994190521</v>
      </c>
      <c r="AM403" s="9">
        <v>1.040677071262295</v>
      </c>
      <c r="AN403" s="9">
        <v>1.041001535197151</v>
      </c>
      <c r="AO403" s="9">
        <v>1.023980543939314</v>
      </c>
      <c r="AP403" s="9">
        <v>1.033110125801686</v>
      </c>
      <c r="AQ403" s="9">
        <v>1.038566841926613</v>
      </c>
      <c r="AR403" s="9">
        <v>1.033533798277859</v>
      </c>
      <c r="AS403" s="9">
        <v>1.034351489550723</v>
      </c>
      <c r="AT403" s="9">
        <v>1.011444596815264</v>
      </c>
      <c r="AU403" s="9">
        <v>1.064040761159578</v>
      </c>
      <c r="AV403" s="9">
        <v>1.037362234064785</v>
      </c>
      <c r="AW403" s="9">
        <v>1.07094260947256</v>
      </c>
    </row>
    <row r="404" ht="15.0" customHeight="1">
      <c r="A404" s="5" t="s">
        <v>863</v>
      </c>
      <c r="B404" s="5" t="s">
        <v>864</v>
      </c>
      <c r="C404" s="5" t="s">
        <v>281</v>
      </c>
      <c r="D404" s="5" t="s">
        <v>83</v>
      </c>
      <c r="E404" s="5">
        <v>4.5</v>
      </c>
      <c r="F404" s="6">
        <v>0.9090909091</v>
      </c>
      <c r="G404" s="10">
        <v>89.0</v>
      </c>
      <c r="H404" s="5">
        <v>2839.0</v>
      </c>
      <c r="I404" s="5" t="b">
        <v>1</v>
      </c>
      <c r="J404" s="5" t="b">
        <v>0</v>
      </c>
      <c r="K404" s="7">
        <v>82.385454546116</v>
      </c>
      <c r="L404" s="8">
        <v>0.07806126007921242</v>
      </c>
      <c r="M404" s="9">
        <f t="shared" si="1"/>
        <v>3.09261334</v>
      </c>
      <c r="N404" s="7">
        <f t="shared" si="2"/>
        <v>105.1488536</v>
      </c>
      <c r="O404" s="9">
        <f t="shared" si="3"/>
        <v>23.3664119</v>
      </c>
      <c r="P404" s="9">
        <v>3.132824152159628</v>
      </c>
      <c r="Q404" s="9">
        <v>3.070651209377839</v>
      </c>
      <c r="R404" s="9">
        <v>0.0</v>
      </c>
      <c r="S404" s="9">
        <v>3.137677937234931</v>
      </c>
      <c r="T404" s="9">
        <v>3.587722346473901</v>
      </c>
      <c r="U404" s="9">
        <v>5.337430158122775</v>
      </c>
      <c r="V404" s="9">
        <v>3.679889748096599</v>
      </c>
      <c r="W404" s="9">
        <v>2.764336318217541</v>
      </c>
      <c r="X404" s="9">
        <v>2.995681898772252</v>
      </c>
      <c r="Y404" s="9">
        <v>3.894105118732344</v>
      </c>
      <c r="Z404" s="9">
        <v>2.442244886364398</v>
      </c>
      <c r="AA404" s="9">
        <v>3.687173185329597</v>
      </c>
      <c r="AB404" s="9">
        <v>2.558306324129504</v>
      </c>
      <c r="AC404" s="9">
        <v>2.654737470119206</v>
      </c>
      <c r="AD404" s="9">
        <v>2.874624537919141</v>
      </c>
      <c r="AE404" s="9">
        <v>3.854930772275543</v>
      </c>
      <c r="AF404" s="9">
        <v>2.905055437255947</v>
      </c>
      <c r="AG404" s="9">
        <v>3.13359736241008</v>
      </c>
      <c r="AH404" s="9">
        <v>3.316386097529082</v>
      </c>
      <c r="AI404" s="9">
        <v>2.656127243573724</v>
      </c>
      <c r="AJ404" s="9">
        <v>2.756941426568706</v>
      </c>
      <c r="AK404" s="9">
        <v>3.515375403641492</v>
      </c>
      <c r="AL404" s="9">
        <v>2.704182855249585</v>
      </c>
      <c r="AM404" s="9">
        <v>3.069886068336965</v>
      </c>
      <c r="AN404" s="9">
        <v>3.131176980690278</v>
      </c>
      <c r="AO404" s="9">
        <v>2.939851018045309</v>
      </c>
      <c r="AP404" s="9">
        <v>3.285690207563087</v>
      </c>
      <c r="AQ404" s="9">
        <v>3.219599822107662</v>
      </c>
      <c r="AR404" s="9">
        <v>3.048026712435272</v>
      </c>
      <c r="AS404" s="9">
        <v>3.052635628023835</v>
      </c>
      <c r="AT404" s="9">
        <v>2.51516731533978</v>
      </c>
      <c r="AU404" s="9">
        <v>3.406420745202448</v>
      </c>
      <c r="AV404" s="9">
        <v>3.127934724991285</v>
      </c>
      <c r="AW404" s="9">
        <v>3.692462442584486</v>
      </c>
    </row>
    <row r="405" ht="15.0" customHeight="1">
      <c r="A405" s="5" t="s">
        <v>865</v>
      </c>
      <c r="B405" s="5" t="s">
        <v>866</v>
      </c>
      <c r="C405" s="5" t="s">
        <v>281</v>
      </c>
      <c r="D405" s="5" t="s">
        <v>83</v>
      </c>
      <c r="E405" s="5">
        <v>4.5</v>
      </c>
      <c r="F405" s="6">
        <v>0.25</v>
      </c>
      <c r="G405" s="10">
        <v>80.0</v>
      </c>
      <c r="H405" s="5">
        <v>969.0</v>
      </c>
      <c r="I405" s="5" t="b">
        <v>0</v>
      </c>
      <c r="J405" s="5" t="b">
        <v>0</v>
      </c>
      <c r="K405" s="7">
        <v>32.18</v>
      </c>
      <c r="L405" s="8">
        <v>0.08223428884628368</v>
      </c>
      <c r="M405" s="9">
        <f t="shared" si="1"/>
        <v>1.276424734</v>
      </c>
      <c r="N405" s="7">
        <f t="shared" si="2"/>
        <v>43.39844096</v>
      </c>
      <c r="O405" s="9">
        <f t="shared" si="3"/>
        <v>9.644097992</v>
      </c>
      <c r="P405" s="9">
        <v>0.0</v>
      </c>
      <c r="Q405" s="9">
        <v>1.33610798127946</v>
      </c>
      <c r="R405" s="9">
        <v>0.0</v>
      </c>
      <c r="S405" s="9">
        <v>1.342647110292944</v>
      </c>
      <c r="T405" s="9">
        <v>1.380779225878089</v>
      </c>
      <c r="U405" s="9">
        <v>2.509265486704407</v>
      </c>
      <c r="V405" s="9">
        <v>1.393837989274276</v>
      </c>
      <c r="W405" s="9">
        <v>1.261078671835044</v>
      </c>
      <c r="X405" s="9">
        <v>1.291482202783677</v>
      </c>
      <c r="Y405" s="9">
        <v>1.391313291955304</v>
      </c>
      <c r="Z405" s="9">
        <v>1.237452308621469</v>
      </c>
      <c r="AA405" s="9">
        <v>1.409623045825265</v>
      </c>
      <c r="AB405" s="9">
        <v>1.225366554564269</v>
      </c>
      <c r="AC405" s="9">
        <v>1.266245216325616</v>
      </c>
      <c r="AD405" s="9">
        <v>1.281423172590591</v>
      </c>
      <c r="AE405" s="9">
        <v>1.375394951187372</v>
      </c>
      <c r="AF405" s="9">
        <v>1.323447313404421</v>
      </c>
      <c r="AG405" s="9">
        <v>1.319516154461497</v>
      </c>
      <c r="AH405" s="9">
        <v>1.314451540200272</v>
      </c>
      <c r="AI405" s="9">
        <v>1.272975045839612</v>
      </c>
      <c r="AJ405" s="9">
        <v>1.288827135238528</v>
      </c>
      <c r="AK405" s="9">
        <v>1.360741050312236</v>
      </c>
      <c r="AL405" s="9">
        <v>1.277887981648342</v>
      </c>
      <c r="AM405" s="9">
        <v>1.327150562509083</v>
      </c>
      <c r="AN405" s="9">
        <v>1.32820790519189</v>
      </c>
      <c r="AO405" s="9">
        <v>1.272740968416474</v>
      </c>
      <c r="AP405" s="9">
        <v>1.302491876120688</v>
      </c>
      <c r="AQ405" s="9">
        <v>1.320273879748905</v>
      </c>
      <c r="AR405" s="9">
        <v>1.303872513364042</v>
      </c>
      <c r="AS405" s="9">
        <v>1.306537154303381</v>
      </c>
      <c r="AT405" s="9">
        <v>1.231889611640794</v>
      </c>
      <c r="AU405" s="9">
        <v>1.403286687059195</v>
      </c>
      <c r="AV405" s="9">
        <v>1.316348379341847</v>
      </c>
      <c r="AW405" s="9">
        <v>1.425777996655126</v>
      </c>
    </row>
    <row r="406" ht="15.0" customHeight="1">
      <c r="A406" s="5" t="s">
        <v>867</v>
      </c>
      <c r="B406" s="5" t="s">
        <v>868</v>
      </c>
      <c r="C406" s="5" t="s">
        <v>281</v>
      </c>
      <c r="D406" s="5" t="s">
        <v>52</v>
      </c>
      <c r="E406" s="5">
        <v>5.0</v>
      </c>
      <c r="F406" s="6">
        <v>0.875</v>
      </c>
      <c r="G406" s="10">
        <v>81.0</v>
      </c>
      <c r="H406" s="5">
        <v>628.0</v>
      </c>
      <c r="I406" s="5" t="b">
        <v>1</v>
      </c>
      <c r="J406" s="5" t="b">
        <v>0</v>
      </c>
      <c r="K406" s="7">
        <v>73.74375</v>
      </c>
      <c r="L406" s="8">
        <v>0.03465273714720742</v>
      </c>
      <c r="M406" s="9">
        <f t="shared" si="1"/>
        <v>2.176490423</v>
      </c>
      <c r="N406" s="7">
        <f t="shared" si="2"/>
        <v>74.00067438</v>
      </c>
      <c r="O406" s="9">
        <f t="shared" si="3"/>
        <v>14.80013488</v>
      </c>
      <c r="P406" s="9">
        <v>0.0</v>
      </c>
      <c r="Q406" s="9">
        <v>0.0</v>
      </c>
      <c r="R406" s="9">
        <v>0.0</v>
      </c>
      <c r="S406" s="9">
        <v>2.34019198770647</v>
      </c>
      <c r="T406" s="9">
        <v>2.470784382679969</v>
      </c>
      <c r="U406" s="9">
        <v>4.350962457474417</v>
      </c>
      <c r="V406" s="9">
        <v>2.500642033876162</v>
      </c>
      <c r="W406" s="9">
        <v>2.202246291127714</v>
      </c>
      <c r="X406" s="9">
        <v>2.275782577336646</v>
      </c>
      <c r="Y406" s="9">
        <v>2.550542416151877</v>
      </c>
      <c r="Z406" s="9">
        <v>2.110955747458846</v>
      </c>
      <c r="AA406" s="9">
        <v>2.511749802859243</v>
      </c>
      <c r="AB406" s="9">
        <v>2.131636179250451</v>
      </c>
      <c r="AC406" s="9">
        <v>2.17901349731588</v>
      </c>
      <c r="AD406" s="9">
        <v>2.240772035102685</v>
      </c>
      <c r="AE406" s="9">
        <v>2.531703909672575</v>
      </c>
      <c r="AF406" s="9">
        <v>2.272992918887506</v>
      </c>
      <c r="AG406" s="9">
        <v>2.325496719824755</v>
      </c>
      <c r="AH406" s="9">
        <v>2.366350673750886</v>
      </c>
      <c r="AI406" s="9">
        <v>2.183337606926416</v>
      </c>
      <c r="AJ406" s="9">
        <v>2.216926299258718</v>
      </c>
      <c r="AK406" s="9">
        <v>2.441543672941446</v>
      </c>
      <c r="AL406" s="9">
        <v>2.197781039782847</v>
      </c>
      <c r="AM406" s="9">
        <v>2.314737289236832</v>
      </c>
      <c r="AN406" s="9">
        <v>2.330070025546546</v>
      </c>
      <c r="AO406" s="9">
        <v>2.251273687387772</v>
      </c>
      <c r="AP406" s="9">
        <v>2.35189385157667</v>
      </c>
      <c r="AQ406" s="9">
        <v>2.346580920936877</v>
      </c>
      <c r="AR406" s="9">
        <v>2.295689069899524</v>
      </c>
      <c r="AS406" s="9">
        <v>2.298374983413156</v>
      </c>
      <c r="AT406" s="9">
        <v>2.125153723165596</v>
      </c>
      <c r="AU406" s="9">
        <v>2.440630506443137</v>
      </c>
      <c r="AV406" s="9">
        <v>2.322259634329046</v>
      </c>
      <c r="AW406" s="9">
        <v>2.522598440953087</v>
      </c>
    </row>
    <row r="407" ht="15.0" customHeight="1">
      <c r="A407" s="5" t="s">
        <v>869</v>
      </c>
      <c r="B407" s="5" t="s">
        <v>870</v>
      </c>
      <c r="C407" s="5" t="s">
        <v>281</v>
      </c>
      <c r="D407" s="5" t="s">
        <v>52</v>
      </c>
      <c r="E407" s="5">
        <v>5.0</v>
      </c>
      <c r="F407" s="6">
        <v>0.3214285714</v>
      </c>
      <c r="G407" s="10">
        <v>72.0</v>
      </c>
      <c r="H407" s="5">
        <v>919.0</v>
      </c>
      <c r="I407" s="5" t="b">
        <v>0</v>
      </c>
      <c r="J407" s="5" t="b">
        <v>0</v>
      </c>
      <c r="K407" s="7">
        <v>38.71607142716999</v>
      </c>
      <c r="L407" s="8">
        <v>0.07663206337153194</v>
      </c>
      <c r="M407" s="9">
        <f t="shared" si="1"/>
        <v>1.060298337</v>
      </c>
      <c r="N407" s="7">
        <f t="shared" si="2"/>
        <v>36.05014346</v>
      </c>
      <c r="O407" s="9">
        <f t="shared" si="3"/>
        <v>7.210028692</v>
      </c>
      <c r="P407" s="9">
        <v>0.0</v>
      </c>
      <c r="Q407" s="9">
        <v>0.0</v>
      </c>
      <c r="R407" s="9">
        <v>0.0</v>
      </c>
      <c r="S407" s="9">
        <v>1.138136640397077</v>
      </c>
      <c r="T407" s="9">
        <v>1.153781603248348</v>
      </c>
      <c r="U407" s="9">
        <v>2.204051664970535</v>
      </c>
      <c r="V407" s="9">
        <v>1.159139393265551</v>
      </c>
      <c r="W407" s="9">
        <v>1.104670488049442</v>
      </c>
      <c r="X407" s="9">
        <v>1.11714454318485</v>
      </c>
      <c r="Y407" s="9">
        <v>1.158103552605783</v>
      </c>
      <c r="Z407" s="9">
        <v>1.094976990347703</v>
      </c>
      <c r="AA407" s="9">
        <v>1.165615735308363</v>
      </c>
      <c r="AB407" s="9">
        <v>1.09001840962505</v>
      </c>
      <c r="AC407" s="9">
        <v>1.106790233974473</v>
      </c>
      <c r="AD407" s="9">
        <v>1.113017493025798</v>
      </c>
      <c r="AE407" s="9">
        <v>1.151572526300356</v>
      </c>
      <c r="AF407" s="9">
        <v>1.130259288079653</v>
      </c>
      <c r="AG407" s="9">
        <v>1.128646399975211</v>
      </c>
      <c r="AH407" s="9">
        <v>1.126568474301353</v>
      </c>
      <c r="AI407" s="9">
        <v>1.109551369335735</v>
      </c>
      <c r="AJ407" s="9">
        <v>1.116055213823652</v>
      </c>
      <c r="AK407" s="9">
        <v>1.145560278322512</v>
      </c>
      <c r="AL407" s="9">
        <v>1.111567063902868</v>
      </c>
      <c r="AM407" s="9">
        <v>1.131778668627582</v>
      </c>
      <c r="AN407" s="9">
        <v>1.13221247846844</v>
      </c>
      <c r="AO407" s="9">
        <v>1.109455331323337</v>
      </c>
      <c r="AP407" s="9">
        <v>1.121661626166453</v>
      </c>
      <c r="AQ407" s="9">
        <v>1.128957281860232</v>
      </c>
      <c r="AR407" s="9">
        <v>1.122228078304025</v>
      </c>
      <c r="AS407" s="9">
        <v>1.123321335467133</v>
      </c>
      <c r="AT407" s="9">
        <v>1.092694709748264</v>
      </c>
      <c r="AU407" s="9">
        <v>1.163016034347996</v>
      </c>
      <c r="AV407" s="9">
        <v>1.127346715357466</v>
      </c>
      <c r="AW407" s="9">
        <v>1.1722438387251</v>
      </c>
    </row>
    <row r="408" ht="15.0" customHeight="1">
      <c r="A408" s="5" t="s">
        <v>871</v>
      </c>
      <c r="B408" s="5" t="s">
        <v>872</v>
      </c>
      <c r="C408" s="5" t="s">
        <v>281</v>
      </c>
      <c r="D408" s="5" t="s">
        <v>52</v>
      </c>
      <c r="E408" s="5">
        <v>5.0</v>
      </c>
      <c r="F408" s="6">
        <v>0.6216216216</v>
      </c>
      <c r="G408" s="10">
        <v>82.0</v>
      </c>
      <c r="H408" s="5">
        <v>2271.0</v>
      </c>
      <c r="I408" s="5" t="b">
        <v>1</v>
      </c>
      <c r="J408" s="5" t="b">
        <v>0</v>
      </c>
      <c r="K408" s="7">
        <v>59.65675675548</v>
      </c>
      <c r="L408" s="8">
        <v>0.06895019502746444</v>
      </c>
      <c r="M408" s="9">
        <f t="shared" si="1"/>
        <v>2.156111857</v>
      </c>
      <c r="N408" s="7">
        <f t="shared" si="2"/>
        <v>73.30780312</v>
      </c>
      <c r="O408" s="9">
        <f t="shared" si="3"/>
        <v>14.66156062</v>
      </c>
      <c r="P408" s="9">
        <v>2.200707323028369</v>
      </c>
      <c r="Q408" s="9">
        <v>2.179306146753075</v>
      </c>
      <c r="R408" s="9">
        <v>0.0</v>
      </c>
      <c r="S408" s="9">
        <v>2.205163960359061</v>
      </c>
      <c r="T408" s="9">
        <v>2.370622126025713</v>
      </c>
      <c r="U408" s="9">
        <v>3.929019924586074</v>
      </c>
      <c r="V408" s="9">
        <v>2.411927183328959</v>
      </c>
      <c r="W408" s="9">
        <v>1.997324253700028</v>
      </c>
      <c r="X408" s="9">
        <v>2.097645799778905</v>
      </c>
      <c r="Y408" s="9">
        <v>2.461459884436798</v>
      </c>
      <c r="Z408" s="9">
        <v>1.88408718038869</v>
      </c>
      <c r="AA408" s="9">
        <v>2.436044081213636</v>
      </c>
      <c r="AB408" s="9">
        <v>1.895774682077604</v>
      </c>
      <c r="AC408" s="9">
        <v>1.977458771136834</v>
      </c>
      <c r="AD408" s="9">
        <v>2.053419272730232</v>
      </c>
      <c r="AE408" s="9">
        <v>2.429249248589493</v>
      </c>
      <c r="AF408" s="9">
        <v>2.120361828004395</v>
      </c>
      <c r="AG408" s="9">
        <v>2.171457931420465</v>
      </c>
      <c r="AH408" s="9">
        <v>2.209610321071481</v>
      </c>
      <c r="AI408" s="9">
        <v>1.987315572334202</v>
      </c>
      <c r="AJ408" s="9">
        <v>2.034712289310326</v>
      </c>
      <c r="AK408" s="9">
        <v>2.324365238628593</v>
      </c>
      <c r="AL408" s="9">
        <v>2.006172142932052</v>
      </c>
      <c r="AM408" s="9">
        <v>2.166455592361219</v>
      </c>
      <c r="AN408" s="9">
        <v>2.183143326459017</v>
      </c>
      <c r="AO408" s="9">
        <v>2.057316196933152</v>
      </c>
      <c r="AP408" s="9">
        <v>2.185096787132708</v>
      </c>
      <c r="AQ408" s="9">
        <v>2.193847845966449</v>
      </c>
      <c r="AR408" s="9">
        <v>2.128134522387428</v>
      </c>
      <c r="AS408" s="9">
        <v>2.133043356739546</v>
      </c>
      <c r="AT408" s="9">
        <v>1.894301106698551</v>
      </c>
      <c r="AU408" s="9">
        <v>2.357493012952772</v>
      </c>
      <c r="AV408" s="9">
        <v>2.165576736698391</v>
      </c>
      <c r="AW408" s="9">
        <v>2.460189475463053</v>
      </c>
    </row>
    <row r="409" ht="15.0" customHeight="1">
      <c r="A409" s="5" t="s">
        <v>873</v>
      </c>
      <c r="B409" s="5" t="s">
        <v>874</v>
      </c>
      <c r="C409" s="5" t="s">
        <v>281</v>
      </c>
      <c r="D409" s="5" t="s">
        <v>52</v>
      </c>
      <c r="E409" s="5">
        <v>5.0</v>
      </c>
      <c r="F409" s="6">
        <v>0.3333333333</v>
      </c>
      <c r="G409" s="5">
        <v>64.0</v>
      </c>
      <c r="H409" s="5">
        <v>1089.0</v>
      </c>
      <c r="I409" s="5" t="b">
        <v>0</v>
      </c>
      <c r="J409" s="5" t="b">
        <v>0</v>
      </c>
      <c r="K409" s="7">
        <v>36.633333331965</v>
      </c>
      <c r="L409" s="8">
        <v>0.07666257357678352</v>
      </c>
      <c r="M409" s="9">
        <f t="shared" si="1"/>
        <v>1.423893378</v>
      </c>
      <c r="N409" s="7">
        <f t="shared" si="2"/>
        <v>48.41237487</v>
      </c>
      <c r="O409" s="9">
        <f t="shared" si="3"/>
        <v>9.682474974</v>
      </c>
      <c r="P409" s="9">
        <v>0.0</v>
      </c>
      <c r="Q409" s="9">
        <v>0.0</v>
      </c>
      <c r="R409" s="9">
        <v>0.0</v>
      </c>
      <c r="S409" s="9">
        <v>1.574877638086219</v>
      </c>
      <c r="T409" s="9">
        <v>1.658704295456644</v>
      </c>
      <c r="U409" s="9">
        <v>2.762787489675393</v>
      </c>
      <c r="V409" s="9">
        <v>1.687411658478489</v>
      </c>
      <c r="W409" s="9">
        <v>1.395563969334128</v>
      </c>
      <c r="X409" s="9">
        <v>1.462400711344714</v>
      </c>
      <c r="Y409" s="9">
        <v>1.681861561562177</v>
      </c>
      <c r="Z409" s="9">
        <v>1.343625622257859</v>
      </c>
      <c r="AA409" s="9">
        <v>1.722112290918301</v>
      </c>
      <c r="AB409" s="9">
        <v>1.317057246785642</v>
      </c>
      <c r="AC409" s="9">
        <v>1.406921696230585</v>
      </c>
      <c r="AD409" s="9">
        <v>1.44028772693419</v>
      </c>
      <c r="AE409" s="9">
        <v>1.646867927535249</v>
      </c>
      <c r="AF409" s="9">
        <v>1.532670307843493</v>
      </c>
      <c r="AG409" s="9">
        <v>1.524028355811185</v>
      </c>
      <c r="AH409" s="9">
        <v>1.512894704350356</v>
      </c>
      <c r="AI409" s="9">
        <v>1.421716026526041</v>
      </c>
      <c r="AJ409" s="9">
        <v>1.456564018730438</v>
      </c>
      <c r="AK409" s="9">
        <v>1.614653939170052</v>
      </c>
      <c r="AL409" s="9">
        <v>1.432516239952483</v>
      </c>
      <c r="AM409" s="9">
        <v>1.540811240731432</v>
      </c>
      <c r="AN409" s="9">
        <v>1.54313562010128</v>
      </c>
      <c r="AO409" s="9">
        <v>1.421201449045972</v>
      </c>
      <c r="AP409" s="9">
        <v>1.486603515212787</v>
      </c>
      <c r="AQ409" s="9">
        <v>1.52569407975736</v>
      </c>
      <c r="AR409" s="9">
        <v>1.489638600032381</v>
      </c>
      <c r="AS409" s="9">
        <v>1.4954963380469</v>
      </c>
      <c r="AT409" s="9">
        <v>1.331397024743691</v>
      </c>
      <c r="AU409" s="9">
        <v>1.708182935908519</v>
      </c>
      <c r="AV409" s="9">
        <v>1.51706456700727</v>
      </c>
      <c r="AW409" s="9">
        <v>1.757626069980127</v>
      </c>
    </row>
    <row r="410" ht="15.0" customHeight="1">
      <c r="A410" s="5" t="s">
        <v>875</v>
      </c>
      <c r="B410" s="5" t="s">
        <v>876</v>
      </c>
      <c r="C410" s="5" t="s">
        <v>281</v>
      </c>
      <c r="D410" s="5" t="s">
        <v>52</v>
      </c>
      <c r="E410" s="5">
        <v>6.0</v>
      </c>
      <c r="F410" s="6"/>
      <c r="G410" s="10"/>
      <c r="H410" s="5">
        <v>918.0</v>
      </c>
      <c r="I410" s="5" t="b">
        <v>1</v>
      </c>
      <c r="J410" s="5" t="b">
        <v>0</v>
      </c>
      <c r="K410" s="7">
        <v>74.05</v>
      </c>
      <c r="L410" s="8">
        <v>0.07557182962138098</v>
      </c>
      <c r="M410" s="9">
        <f t="shared" si="1"/>
        <v>2.882714517</v>
      </c>
      <c r="N410" s="7">
        <f t="shared" si="2"/>
        <v>98.01229359</v>
      </c>
      <c r="O410" s="9">
        <f t="shared" si="3"/>
        <v>16.33538226</v>
      </c>
      <c r="P410" s="9">
        <v>2.953931465516886</v>
      </c>
      <c r="Q410" s="9">
        <v>2.927840978295464</v>
      </c>
      <c r="R410" s="9">
        <v>0.0</v>
      </c>
      <c r="S410" s="9">
        <v>2.960890975049948</v>
      </c>
      <c r="T410" s="9">
        <v>3.168380343294608</v>
      </c>
      <c r="U410" s="9">
        <v>5.24819583710976</v>
      </c>
      <c r="V410" s="9">
        <v>3.223984314389051</v>
      </c>
      <c r="W410" s="9">
        <v>2.664047259773838</v>
      </c>
      <c r="X410" s="9">
        <v>2.797685402772916</v>
      </c>
      <c r="Y410" s="9">
        <v>3.271108854145365</v>
      </c>
      <c r="Z410" s="9">
        <v>2.524701570955663</v>
      </c>
      <c r="AA410" s="9">
        <v>3.265225437193565</v>
      </c>
      <c r="AB410" s="9">
        <v>2.523464770887137</v>
      </c>
      <c r="AC410" s="9">
        <v>2.649614685344042</v>
      </c>
      <c r="AD410" s="9">
        <v>2.742367698567843</v>
      </c>
      <c r="AE410" s="9">
        <v>3.221580526225802</v>
      </c>
      <c r="AF410" s="9">
        <v>2.854916580370904</v>
      </c>
      <c r="AG410" s="9">
        <v>2.902101735335914</v>
      </c>
      <c r="AH410" s="9">
        <v>2.935044108558792</v>
      </c>
      <c r="AI410" s="9">
        <v>2.666769625354132</v>
      </c>
      <c r="AJ410" s="9">
        <v>2.731506859933457</v>
      </c>
      <c r="AK410" s="9">
        <v>3.100288392654604</v>
      </c>
      <c r="AL410" s="9">
        <v>2.691026244594477</v>
      </c>
      <c r="AM410" s="9">
        <v>2.905278249658858</v>
      </c>
      <c r="AN410" s="9">
        <v>2.92320639463192</v>
      </c>
      <c r="AO410" s="9">
        <v>2.736952149633558</v>
      </c>
      <c r="AP410" s="9">
        <v>2.897517618608377</v>
      </c>
      <c r="AQ410" s="9">
        <v>2.925445182412705</v>
      </c>
      <c r="AR410" s="9">
        <v>2.841687200681631</v>
      </c>
      <c r="AS410" s="9">
        <v>2.849491927295953</v>
      </c>
      <c r="AT410" s="9">
        <v>2.528996790453502</v>
      </c>
      <c r="AU410" s="9">
        <v>3.179373830064267</v>
      </c>
      <c r="AV410" s="9">
        <v>2.892777567855609</v>
      </c>
      <c r="AW410" s="9">
        <v>3.30689300740761</v>
      </c>
    </row>
    <row r="411" ht="15.0" customHeight="1">
      <c r="A411" s="5" t="s">
        <v>877</v>
      </c>
      <c r="B411" s="5" t="s">
        <v>878</v>
      </c>
      <c r="C411" s="5" t="s">
        <v>281</v>
      </c>
      <c r="D411" s="5" t="s">
        <v>56</v>
      </c>
      <c r="E411" s="5">
        <v>5.5</v>
      </c>
      <c r="F411" s="6">
        <v>1.0</v>
      </c>
      <c r="G411" s="10">
        <v>88.0</v>
      </c>
      <c r="H411" s="5">
        <v>3054.0</v>
      </c>
      <c r="I411" s="5" t="b">
        <v>1</v>
      </c>
      <c r="J411" s="5" t="b">
        <v>1</v>
      </c>
      <c r="K411" s="7">
        <v>88.0</v>
      </c>
      <c r="L411" s="8">
        <v>0.1217841052770645</v>
      </c>
      <c r="M411" s="9">
        <f t="shared" si="1"/>
        <v>4.226197479</v>
      </c>
      <c r="N411" s="7">
        <f t="shared" si="2"/>
        <v>143.6907143</v>
      </c>
      <c r="O411" s="9">
        <f t="shared" si="3"/>
        <v>26.12558442</v>
      </c>
      <c r="P411" s="9">
        <v>4.444551670140289</v>
      </c>
      <c r="Q411" s="9">
        <v>4.406784555803459</v>
      </c>
      <c r="R411" s="9">
        <v>0.0</v>
      </c>
      <c r="S411" s="9">
        <v>4.465067129732505</v>
      </c>
      <c r="T411" s="9">
        <v>4.804934693299329</v>
      </c>
      <c r="U411" s="9">
        <v>7.361208539399286</v>
      </c>
      <c r="V411" s="9">
        <v>4.92132608754935</v>
      </c>
      <c r="W411" s="9">
        <v>3.738056157033232</v>
      </c>
      <c r="X411" s="9">
        <v>4.009039652933627</v>
      </c>
      <c r="Y411" s="9">
        <v>4.898823724033036</v>
      </c>
      <c r="Z411" s="9">
        <v>3.527476849325713</v>
      </c>
      <c r="AA411" s="9">
        <v>5.06201664794509</v>
      </c>
      <c r="AB411" s="9">
        <v>3.419757785689797</v>
      </c>
      <c r="AC411" s="9">
        <v>3.784105028466798</v>
      </c>
      <c r="AD411" s="9">
        <v>3.919384567420845</v>
      </c>
      <c r="AE411" s="9">
        <v>4.756945215332331</v>
      </c>
      <c r="AF411" s="9">
        <v>4.293941345355035</v>
      </c>
      <c r="AG411" s="9">
        <v>4.258903336279915</v>
      </c>
      <c r="AH411" s="9">
        <v>4.213762958334592</v>
      </c>
      <c r="AI411" s="9">
        <v>3.844087296039516</v>
      </c>
      <c r="AJ411" s="9">
        <v>3.985375313207698</v>
      </c>
      <c r="AK411" s="9">
        <v>4.626336527333848</v>
      </c>
      <c r="AL411" s="9">
        <v>3.887875779779552</v>
      </c>
      <c r="AM411" s="9">
        <v>4.326948017845366</v>
      </c>
      <c r="AN411" s="9">
        <v>4.336372002744874</v>
      </c>
      <c r="AO411" s="9">
        <v>3.842000988414906</v>
      </c>
      <c r="AP411" s="9">
        <v>4.107167721499911</v>
      </c>
      <c r="AQ411" s="9">
        <v>4.265656862627263</v>
      </c>
      <c r="AR411" s="9">
        <v>4.119473197051629</v>
      </c>
      <c r="AS411" s="9">
        <v>4.143222863440091</v>
      </c>
      <c r="AT411" s="9">
        <v>3.477897112123332</v>
      </c>
      <c r="AU411" s="9">
        <v>5.005541344053253</v>
      </c>
      <c r="AV411" s="9">
        <v>4.230669287491333</v>
      </c>
      <c r="AW411" s="9">
        <v>5.206004037415444</v>
      </c>
    </row>
    <row r="412" ht="15.0" customHeight="1">
      <c r="A412" s="5" t="s">
        <v>879</v>
      </c>
      <c r="B412" s="5" t="s">
        <v>880</v>
      </c>
      <c r="C412" s="5" t="s">
        <v>281</v>
      </c>
      <c r="D412" s="5" t="s">
        <v>56</v>
      </c>
      <c r="E412" s="5">
        <v>5.0</v>
      </c>
      <c r="F412" s="6">
        <v>0.6206896552</v>
      </c>
      <c r="G412" s="10">
        <v>73.0</v>
      </c>
      <c r="H412" s="5">
        <v>1602.0</v>
      </c>
      <c r="I412" s="5" t="b">
        <v>1</v>
      </c>
      <c r="J412" s="5" t="b">
        <v>0</v>
      </c>
      <c r="K412" s="7">
        <v>54.406206897904</v>
      </c>
      <c r="L412" s="8">
        <v>0.09433387490487202</v>
      </c>
      <c r="M412" s="9">
        <f t="shared" si="1"/>
        <v>2.118190068</v>
      </c>
      <c r="N412" s="7">
        <f t="shared" si="2"/>
        <v>72.0184623</v>
      </c>
      <c r="O412" s="9">
        <f t="shared" si="3"/>
        <v>14.40369246</v>
      </c>
      <c r="P412" s="9">
        <v>0.0</v>
      </c>
      <c r="Q412" s="9">
        <v>0.0</v>
      </c>
      <c r="R412" s="9">
        <v>0.0</v>
      </c>
      <c r="S412" s="9">
        <v>2.372597267036766</v>
      </c>
      <c r="T412" s="9">
        <v>2.537598125367857</v>
      </c>
      <c r="U412" s="9">
        <v>3.983503457255988</v>
      </c>
      <c r="V412" s="9">
        <v>2.594104488470172</v>
      </c>
      <c r="W412" s="9">
        <v>2.019643801126167</v>
      </c>
      <c r="X412" s="9">
        <v>2.151202426338524</v>
      </c>
      <c r="Y412" s="9">
        <v>2.583179911685897</v>
      </c>
      <c r="Z412" s="9">
        <v>1.917410548403078</v>
      </c>
      <c r="AA412" s="9">
        <v>2.662407750425368</v>
      </c>
      <c r="AB412" s="9">
        <v>1.86511447821616</v>
      </c>
      <c r="AC412" s="9">
        <v>2.041999871920261</v>
      </c>
      <c r="AD412" s="9">
        <v>2.107676160083205</v>
      </c>
      <c r="AE412" s="9">
        <v>2.514299917759237</v>
      </c>
      <c r="AF412" s="9">
        <v>2.289518137600184</v>
      </c>
      <c r="AG412" s="9">
        <v>2.272507683554691</v>
      </c>
      <c r="AH412" s="9">
        <v>2.250592673401321</v>
      </c>
      <c r="AI412" s="9">
        <v>2.071120407961641</v>
      </c>
      <c r="AJ412" s="9">
        <v>2.139713726664926</v>
      </c>
      <c r="AK412" s="9">
        <v>2.450891261166416</v>
      </c>
      <c r="AL412" s="9">
        <v>2.092379092745494</v>
      </c>
      <c r="AM412" s="9">
        <v>2.3055424066843</v>
      </c>
      <c r="AN412" s="9">
        <v>2.31011761704271</v>
      </c>
      <c r="AO412" s="9">
        <v>2.070107535343876</v>
      </c>
      <c r="AP412" s="9">
        <v>2.198842205109662</v>
      </c>
      <c r="AQ412" s="9">
        <v>2.275786424345307</v>
      </c>
      <c r="AR412" s="9">
        <v>2.204816338112815</v>
      </c>
      <c r="AS412" s="9">
        <v>2.216346462665</v>
      </c>
      <c r="AT412" s="9">
        <v>1.893340292599998</v>
      </c>
      <c r="AU412" s="9">
        <v>2.634989795269933</v>
      </c>
      <c r="AV412" s="9">
        <v>2.258800455258507</v>
      </c>
      <c r="AW412" s="9">
        <v>2.732311575909998</v>
      </c>
    </row>
    <row r="413" ht="15.0" customHeight="1">
      <c r="A413" s="5" t="s">
        <v>881</v>
      </c>
      <c r="B413" s="5" t="s">
        <v>882</v>
      </c>
      <c r="C413" s="5" t="s">
        <v>281</v>
      </c>
      <c r="D413" s="5" t="s">
        <v>56</v>
      </c>
      <c r="E413" s="5">
        <v>4.5</v>
      </c>
      <c r="F413" s="6">
        <v>0.08108108108</v>
      </c>
      <c r="G413" s="10">
        <v>73.0</v>
      </c>
      <c r="H413" s="5">
        <v>660.0</v>
      </c>
      <c r="I413" s="5" t="b">
        <v>0</v>
      </c>
      <c r="J413" s="5" t="b">
        <v>0</v>
      </c>
      <c r="K413" s="7">
        <v>27.9545945945416</v>
      </c>
      <c r="L413" s="8">
        <v>0.07881548257431881</v>
      </c>
      <c r="M413" s="9">
        <f t="shared" si="1"/>
        <v>1.320778714</v>
      </c>
      <c r="N413" s="7">
        <f t="shared" si="2"/>
        <v>44.90647628</v>
      </c>
      <c r="O413" s="9">
        <f t="shared" si="3"/>
        <v>9.979216952</v>
      </c>
      <c r="P413" s="9">
        <v>1.351073822782531</v>
      </c>
      <c r="Q413" s="9">
        <v>1.345833901245251</v>
      </c>
      <c r="R413" s="9">
        <v>0.0</v>
      </c>
      <c r="S413" s="9">
        <v>1.353920198536995</v>
      </c>
      <c r="T413" s="9">
        <v>1.401074433045714</v>
      </c>
      <c r="U413" s="9">
        <v>2.490162986042698</v>
      </c>
      <c r="V413" s="9">
        <v>1.417222920537911</v>
      </c>
      <c r="W413" s="9">
        <v>1.253052538389331</v>
      </c>
      <c r="X413" s="9">
        <v>1.290649592899557</v>
      </c>
      <c r="Y413" s="9">
        <v>1.414100875835813</v>
      </c>
      <c r="Z413" s="9">
        <v>1.223836140230842</v>
      </c>
      <c r="AA413" s="9">
        <v>1.436742746461985</v>
      </c>
      <c r="AB413" s="9">
        <v>1.208890877627843</v>
      </c>
      <c r="AC413" s="9">
        <v>1.259441495486772</v>
      </c>
      <c r="AD413" s="9">
        <v>1.278210580235915</v>
      </c>
      <c r="AE413" s="9">
        <v>1.394416230438033</v>
      </c>
      <c r="AF413" s="9">
        <v>1.330177699304829</v>
      </c>
      <c r="AG413" s="9">
        <v>1.325316421931644</v>
      </c>
      <c r="AH413" s="9">
        <v>1.319053511917204</v>
      </c>
      <c r="AI413" s="9">
        <v>1.267763613319392</v>
      </c>
      <c r="AJ413" s="9">
        <v>1.287366332169349</v>
      </c>
      <c r="AK413" s="9">
        <v>1.376295193413723</v>
      </c>
      <c r="AL413" s="9">
        <v>1.273838957519319</v>
      </c>
      <c r="AM413" s="9">
        <v>1.334757143011158</v>
      </c>
      <c r="AN413" s="9">
        <v>1.33606465464685</v>
      </c>
      <c r="AO413" s="9">
        <v>1.267474152807315</v>
      </c>
      <c r="AP413" s="9">
        <v>1.304264172380168</v>
      </c>
      <c r="AQ413" s="9">
        <v>1.32625342622179</v>
      </c>
      <c r="AR413" s="9">
        <v>1.305971470581319</v>
      </c>
      <c r="AS413" s="9">
        <v>1.309266569785939</v>
      </c>
      <c r="AT413" s="9">
        <v>1.216957300336895</v>
      </c>
      <c r="AU413" s="9">
        <v>1.428907195179248</v>
      </c>
      <c r="AV413" s="9">
        <v>1.321399146203018</v>
      </c>
      <c r="AW413" s="9">
        <v>1.456719984236982</v>
      </c>
    </row>
    <row r="414" ht="15.0" customHeight="1">
      <c r="A414" s="5" t="s">
        <v>883</v>
      </c>
      <c r="B414" s="5" t="s">
        <v>884</v>
      </c>
      <c r="C414" s="5" t="s">
        <v>92</v>
      </c>
      <c r="D414" s="5" t="s">
        <v>56</v>
      </c>
      <c r="E414" s="5">
        <v>6.0</v>
      </c>
      <c r="F414" s="6"/>
      <c r="G414" s="10"/>
      <c r="H414" s="5">
        <v>988.0</v>
      </c>
      <c r="I414" s="5" t="b">
        <v>0</v>
      </c>
      <c r="J414" s="5" t="b">
        <v>0</v>
      </c>
      <c r="K414" s="7">
        <v>23.98</v>
      </c>
      <c r="L414" s="8">
        <v>0.1031623952267035</v>
      </c>
      <c r="M414" s="9">
        <f t="shared" si="1"/>
        <v>1.459427281</v>
      </c>
      <c r="N414" s="7">
        <f t="shared" si="2"/>
        <v>49.62052756</v>
      </c>
      <c r="O414" s="9">
        <f t="shared" si="3"/>
        <v>8.270087926</v>
      </c>
      <c r="P414" s="9">
        <v>1.321749914724662</v>
      </c>
      <c r="Q414" s="9">
        <v>1.590885622815357</v>
      </c>
      <c r="R414" s="9">
        <v>1.437933033066856</v>
      </c>
      <c r="S414" s="9">
        <v>1.37211485738288</v>
      </c>
      <c r="T414" s="9">
        <v>1.435518003771871</v>
      </c>
      <c r="U414" s="9">
        <v>1.465297101153859</v>
      </c>
      <c r="V414" s="9">
        <v>1.467762478860497</v>
      </c>
      <c r="W414" s="9">
        <v>1.383477314587262</v>
      </c>
      <c r="X414" s="9">
        <v>1.383886765974216</v>
      </c>
      <c r="Y414" s="9">
        <v>1.572459292297151</v>
      </c>
      <c r="Z414" s="9">
        <v>1.312019570108708</v>
      </c>
      <c r="AA414" s="9">
        <v>1.611829647087862</v>
      </c>
      <c r="AB414" s="9">
        <v>1.501731789350478</v>
      </c>
      <c r="AC414" s="9">
        <v>1.505758081199749</v>
      </c>
      <c r="AD414" s="9">
        <v>1.622913291337834</v>
      </c>
      <c r="AE414" s="9">
        <v>1.363077468047892</v>
      </c>
      <c r="AF414" s="9">
        <v>1.537408245222663</v>
      </c>
      <c r="AG414" s="9">
        <v>1.300609350654972</v>
      </c>
      <c r="AH414" s="9">
        <v>1.411615454642723</v>
      </c>
      <c r="AI414" s="9">
        <v>1.442594058951894</v>
      </c>
      <c r="AJ414" s="9">
        <v>1.48050082880908</v>
      </c>
      <c r="AK414" s="9">
        <v>1.56304104635824</v>
      </c>
      <c r="AL414" s="9">
        <v>1.341522666290254</v>
      </c>
      <c r="AM414" s="9">
        <v>1.466622524450565</v>
      </c>
      <c r="AN414" s="9">
        <v>1.494319748497025</v>
      </c>
      <c r="AO414" s="9">
        <v>1.392480539580991</v>
      </c>
      <c r="AP414" s="9">
        <v>1.472173537419871</v>
      </c>
      <c r="AQ414" s="9">
        <v>1.398664343277433</v>
      </c>
      <c r="AR414" s="9">
        <v>1.456438009551386</v>
      </c>
      <c r="AS414" s="9">
        <v>1.478651310721611</v>
      </c>
      <c r="AT414" s="9">
        <v>1.362081659651592</v>
      </c>
      <c r="AU414" s="9">
        <v>1.651171749307854</v>
      </c>
      <c r="AV414" s="9">
        <v>1.605958517863148</v>
      </c>
      <c r="AW414" s="9">
        <v>1.416259734617471</v>
      </c>
    </row>
    <row r="415" ht="15.0" customHeight="1">
      <c r="A415" s="5" t="s">
        <v>885</v>
      </c>
      <c r="B415" s="5" t="s">
        <v>886</v>
      </c>
      <c r="C415" s="5" t="s">
        <v>141</v>
      </c>
      <c r="D415" s="5" t="s">
        <v>83</v>
      </c>
      <c r="E415" s="5">
        <v>5.0</v>
      </c>
      <c r="F415" s="6"/>
      <c r="G415" s="10"/>
      <c r="H415" s="5">
        <v>1703.0</v>
      </c>
      <c r="I415" s="5" t="b">
        <v>0</v>
      </c>
      <c r="J415" s="5" t="b">
        <v>0</v>
      </c>
      <c r="K415" s="7">
        <v>16.24</v>
      </c>
      <c r="L415" s="8">
        <v>0.09100611387419032</v>
      </c>
      <c r="M415" s="9">
        <f t="shared" si="1"/>
        <v>1.124099927</v>
      </c>
      <c r="N415" s="7">
        <f t="shared" si="2"/>
        <v>38.2193975</v>
      </c>
      <c r="O415" s="9">
        <f t="shared" si="3"/>
        <v>7.6438795</v>
      </c>
      <c r="P415" s="9">
        <v>1.124222649028841</v>
      </c>
      <c r="Q415" s="9">
        <v>1.121005881224767</v>
      </c>
      <c r="R415" s="9">
        <v>1.109240211219481</v>
      </c>
      <c r="S415" s="9">
        <v>1.137530410291532</v>
      </c>
      <c r="T415" s="9">
        <v>1.115623936420018</v>
      </c>
      <c r="U415" s="9">
        <v>1.127853579533169</v>
      </c>
      <c r="V415" s="9">
        <v>1.14038592999338</v>
      </c>
      <c r="W415" s="9">
        <v>1.121737672809601</v>
      </c>
      <c r="X415" s="9">
        <v>1.124085576381696</v>
      </c>
      <c r="Y415" s="9">
        <v>1.115666281069933</v>
      </c>
      <c r="Z415" s="9">
        <v>1.131543167802302</v>
      </c>
      <c r="AA415" s="9">
        <v>1.111285069948898</v>
      </c>
      <c r="AB415" s="9">
        <v>1.128269970646355</v>
      </c>
      <c r="AC415" s="9">
        <v>1.138632500966065</v>
      </c>
      <c r="AD415" s="9">
        <v>1.124796723774571</v>
      </c>
      <c r="AE415" s="9">
        <v>1.117194548789672</v>
      </c>
      <c r="AF415" s="9">
        <v>1.123169386708351</v>
      </c>
      <c r="AG415" s="9">
        <v>1.143308363639915</v>
      </c>
      <c r="AH415" s="9">
        <v>1.113411240244595</v>
      </c>
      <c r="AI415" s="9">
        <v>1.119014229245365</v>
      </c>
      <c r="AJ415" s="9">
        <v>1.127087040976727</v>
      </c>
      <c r="AK415" s="9">
        <v>1.121255638762015</v>
      </c>
      <c r="AL415" s="9">
        <v>1.125657915725177</v>
      </c>
      <c r="AM415" s="9">
        <v>1.124340540851765</v>
      </c>
      <c r="AN415" s="9">
        <v>1.139239681499683</v>
      </c>
      <c r="AO415" s="9">
        <v>1.113514224772835</v>
      </c>
      <c r="AP415" s="9">
        <v>1.118533927026591</v>
      </c>
      <c r="AQ415" s="9">
        <v>1.116555032082666</v>
      </c>
      <c r="AR415" s="9">
        <v>1.135168077534653</v>
      </c>
      <c r="AS415" s="9">
        <v>1.12351252526617</v>
      </c>
      <c r="AT415" s="9">
        <v>1.134194061229431</v>
      </c>
      <c r="AU415" s="9">
        <v>1.107053896035208</v>
      </c>
      <c r="AV415" s="9">
        <v>1.137073692071217</v>
      </c>
      <c r="AW415" s="9">
        <v>1.108233918288415</v>
      </c>
    </row>
    <row r="416" ht="15.0" customHeight="1">
      <c r="A416" s="5" t="s">
        <v>887</v>
      </c>
      <c r="B416" s="5" t="s">
        <v>888</v>
      </c>
      <c r="C416" s="5" t="s">
        <v>64</v>
      </c>
      <c r="D416" s="5" t="s">
        <v>52</v>
      </c>
      <c r="E416" s="5">
        <v>7.0</v>
      </c>
      <c r="F416" s="6"/>
      <c r="G416" s="10"/>
      <c r="H416" s="5">
        <v>548.0</v>
      </c>
      <c r="I416" s="5" t="b">
        <v>0</v>
      </c>
      <c r="J416" s="5" t="b">
        <v>0</v>
      </c>
      <c r="K416" s="7">
        <v>22.95</v>
      </c>
      <c r="L416" s="8">
        <v>0.03799519891383461</v>
      </c>
      <c r="M416" s="9">
        <f t="shared" si="1"/>
        <v>1.037995199</v>
      </c>
      <c r="N416" s="7">
        <f t="shared" si="2"/>
        <v>35.29183676</v>
      </c>
      <c r="O416" s="9">
        <f t="shared" si="3"/>
        <v>5.041690966</v>
      </c>
      <c r="P416" s="9">
        <v>1.03799519889702</v>
      </c>
      <c r="Q416" s="9">
        <v>1.03799519889702</v>
      </c>
      <c r="R416" s="9">
        <v>1.03799519889702</v>
      </c>
      <c r="S416" s="9">
        <v>1.03799519889702</v>
      </c>
      <c r="T416" s="9">
        <v>1.03799519889702</v>
      </c>
      <c r="U416" s="9">
        <v>1.03799519889702</v>
      </c>
      <c r="V416" s="9">
        <v>1.03799519889702</v>
      </c>
      <c r="W416" s="9">
        <v>1.03799519889702</v>
      </c>
      <c r="X416" s="9">
        <v>1.03799519889702</v>
      </c>
      <c r="Y416" s="9">
        <v>1.03799519889702</v>
      </c>
      <c r="Z416" s="9">
        <v>1.03799519889702</v>
      </c>
      <c r="AA416" s="9">
        <v>1.03799519889702</v>
      </c>
      <c r="AB416" s="9">
        <v>1.03799519889702</v>
      </c>
      <c r="AC416" s="9">
        <v>1.03799519889702</v>
      </c>
      <c r="AD416" s="9">
        <v>1.03799519889702</v>
      </c>
      <c r="AE416" s="9">
        <v>1.03799519889702</v>
      </c>
      <c r="AF416" s="9">
        <v>1.03799519889702</v>
      </c>
      <c r="AG416" s="9">
        <v>1.03799519889702</v>
      </c>
      <c r="AH416" s="9">
        <v>1.03799519889702</v>
      </c>
      <c r="AI416" s="9">
        <v>1.03799519889702</v>
      </c>
      <c r="AJ416" s="9">
        <v>1.03799519889702</v>
      </c>
      <c r="AK416" s="9">
        <v>1.03799519889702</v>
      </c>
      <c r="AL416" s="9">
        <v>1.03799519889702</v>
      </c>
      <c r="AM416" s="9">
        <v>1.03799519889702</v>
      </c>
      <c r="AN416" s="9">
        <v>1.03799519889702</v>
      </c>
      <c r="AO416" s="9">
        <v>1.03799519889702</v>
      </c>
      <c r="AP416" s="9">
        <v>1.03799519889702</v>
      </c>
      <c r="AQ416" s="9">
        <v>1.03799519889702</v>
      </c>
      <c r="AR416" s="9">
        <v>1.03799519889702</v>
      </c>
      <c r="AS416" s="9">
        <v>1.03799519889702</v>
      </c>
      <c r="AT416" s="9">
        <v>1.03799519889702</v>
      </c>
      <c r="AU416" s="9">
        <v>1.03799519889702</v>
      </c>
      <c r="AV416" s="9">
        <v>1.03799519889702</v>
      </c>
      <c r="AW416" s="9">
        <v>1.03799519889702</v>
      </c>
    </row>
    <row r="417" ht="15.0" customHeight="1">
      <c r="A417" s="5" t="s">
        <v>889</v>
      </c>
      <c r="B417" s="5" t="s">
        <v>890</v>
      </c>
      <c r="C417" s="5" t="s">
        <v>64</v>
      </c>
      <c r="D417" s="5" t="s">
        <v>52</v>
      </c>
      <c r="E417" s="5">
        <v>8.5</v>
      </c>
      <c r="F417" s="6"/>
      <c r="G417" s="10"/>
      <c r="H417" s="5">
        <v>2413.0</v>
      </c>
      <c r="I417" s="5" t="b">
        <v>1</v>
      </c>
      <c r="J417" s="5" t="b">
        <v>1</v>
      </c>
      <c r="K417" s="7">
        <v>74.05</v>
      </c>
      <c r="L417" s="8">
        <v>0.08334020269419812</v>
      </c>
      <c r="M417" s="9">
        <f t="shared" si="1"/>
        <v>3.98425507</v>
      </c>
      <c r="N417" s="7">
        <f t="shared" si="2"/>
        <v>135.4646724</v>
      </c>
      <c r="O417" s="9">
        <f t="shared" si="3"/>
        <v>15.93702028</v>
      </c>
      <c r="P417" s="9">
        <v>4.602878883528191</v>
      </c>
      <c r="Q417" s="9">
        <v>4.054286364908037</v>
      </c>
      <c r="R417" s="9">
        <v>4.50800886278878</v>
      </c>
      <c r="S417" s="9">
        <v>4.044545950363418</v>
      </c>
      <c r="T417" s="9">
        <v>3.670263818607566</v>
      </c>
      <c r="U417" s="9">
        <v>4.008756592747488</v>
      </c>
      <c r="V417" s="9">
        <v>4.825163446116344</v>
      </c>
      <c r="W417" s="9">
        <v>3.482789424417402</v>
      </c>
      <c r="X417" s="9">
        <v>4.616418961149297</v>
      </c>
      <c r="Y417" s="9">
        <v>4.019873350413787</v>
      </c>
      <c r="Z417" s="9">
        <v>3.593786220902634</v>
      </c>
      <c r="AA417" s="9">
        <v>3.506957432245377</v>
      </c>
      <c r="AB417" s="9">
        <v>3.680087863843659</v>
      </c>
      <c r="AC417" s="9">
        <v>3.634739285623654</v>
      </c>
      <c r="AD417" s="9">
        <v>3.770674987963595</v>
      </c>
      <c r="AE417" s="9">
        <v>3.388036519299843</v>
      </c>
      <c r="AF417" s="9">
        <v>4.542903708634887</v>
      </c>
      <c r="AG417" s="9">
        <v>4.655561424133616</v>
      </c>
      <c r="AH417" s="9">
        <v>3.946315061290614</v>
      </c>
      <c r="AI417" s="9">
        <v>4.715983334778943</v>
      </c>
      <c r="AJ417" s="9">
        <v>3.503985461338531</v>
      </c>
      <c r="AK417" s="9">
        <v>3.24032374345307</v>
      </c>
      <c r="AL417" s="9">
        <v>4.359887221423797</v>
      </c>
      <c r="AM417" s="9">
        <v>3.865059628674929</v>
      </c>
      <c r="AN417" s="9">
        <v>3.967896077843438</v>
      </c>
      <c r="AO417" s="9">
        <v>3.883401382757891</v>
      </c>
      <c r="AP417" s="9">
        <v>3.989757064050458</v>
      </c>
      <c r="AQ417" s="9">
        <v>4.122470700587404</v>
      </c>
      <c r="AR417" s="9">
        <v>4.138569900062647</v>
      </c>
      <c r="AS417" s="9">
        <v>3.214292564371095</v>
      </c>
      <c r="AT417" s="9">
        <v>4.719880348974807</v>
      </c>
      <c r="AU417" s="9">
        <v>3.923636809470706</v>
      </c>
      <c r="AV417" s="9">
        <v>3.248363363712213</v>
      </c>
      <c r="AW417" s="9">
        <v>4.019116617935828</v>
      </c>
    </row>
    <row r="418" ht="15.0" customHeight="1">
      <c r="A418" s="5" t="s">
        <v>891</v>
      </c>
      <c r="B418" s="5" t="s">
        <v>892</v>
      </c>
      <c r="C418" s="5" t="s">
        <v>100</v>
      </c>
      <c r="D418" s="5" t="s">
        <v>52</v>
      </c>
      <c r="E418" s="5">
        <v>5.5</v>
      </c>
      <c r="F418" s="6"/>
      <c r="G418" s="10"/>
      <c r="H418" s="5">
        <v>1295.0</v>
      </c>
      <c r="I418" s="5" t="b">
        <v>0</v>
      </c>
      <c r="J418" s="5" t="b">
        <v>0</v>
      </c>
      <c r="K418" s="7">
        <v>22.95</v>
      </c>
      <c r="L418" s="8">
        <v>0.06099888882203175</v>
      </c>
      <c r="M418" s="9">
        <f t="shared" si="1"/>
        <v>1.200056939</v>
      </c>
      <c r="N418" s="7">
        <f t="shared" si="2"/>
        <v>40.80193591</v>
      </c>
      <c r="O418" s="9">
        <f t="shared" si="3"/>
        <v>7.418533802</v>
      </c>
      <c r="P418" s="9">
        <v>1.204237280915542</v>
      </c>
      <c r="Q418" s="9">
        <v>1.109826257539565</v>
      </c>
      <c r="R418" s="9">
        <v>1.162493519913349</v>
      </c>
      <c r="S418" s="9">
        <v>1.220875177956749</v>
      </c>
      <c r="T418" s="9">
        <v>1.176125487874842</v>
      </c>
      <c r="U418" s="9">
        <v>1.166038526955881</v>
      </c>
      <c r="V418" s="9">
        <v>1.150818426336268</v>
      </c>
      <c r="W418" s="9">
        <v>1.276233776212977</v>
      </c>
      <c r="X418" s="9">
        <v>1.310794178430437</v>
      </c>
      <c r="Y418" s="9">
        <v>1.145637535995737</v>
      </c>
      <c r="Z418" s="9">
        <v>1.260271235278247</v>
      </c>
      <c r="AA418" s="9">
        <v>1.205650615128846</v>
      </c>
      <c r="AB418" s="9">
        <v>1.208179355435883</v>
      </c>
      <c r="AC418" s="9">
        <v>1.188550202404859</v>
      </c>
      <c r="AD418" s="9">
        <v>1.201060709892431</v>
      </c>
      <c r="AE418" s="9">
        <v>1.265670460386402</v>
      </c>
      <c r="AF418" s="9">
        <v>1.121945569889868</v>
      </c>
      <c r="AG418" s="9">
        <v>1.204997110164951</v>
      </c>
      <c r="AH418" s="9">
        <v>1.187165731571225</v>
      </c>
      <c r="AI418" s="9">
        <v>1.116367427069833</v>
      </c>
      <c r="AJ418" s="9">
        <v>1.278765483812998</v>
      </c>
      <c r="AK418" s="9">
        <v>1.225124300069105</v>
      </c>
      <c r="AL418" s="9">
        <v>1.211892887284865</v>
      </c>
      <c r="AM418" s="9">
        <v>1.199158603832169</v>
      </c>
      <c r="AN418" s="9">
        <v>1.284874658381746</v>
      </c>
      <c r="AO418" s="9">
        <v>1.145066666034272</v>
      </c>
      <c r="AP418" s="9">
        <v>1.227432464050631</v>
      </c>
      <c r="AQ418" s="9">
        <v>1.191222242204148</v>
      </c>
      <c r="AR418" s="9">
        <v>1.173463048052012</v>
      </c>
      <c r="AS418" s="9">
        <v>1.288240417624912</v>
      </c>
      <c r="AT418" s="9">
        <v>1.157566942445267</v>
      </c>
      <c r="AU418" s="9">
        <v>1.245576645183526</v>
      </c>
      <c r="AV418" s="9">
        <v>1.133280752407157</v>
      </c>
      <c r="AW418" s="9">
        <v>1.157332215063613</v>
      </c>
    </row>
    <row r="419" ht="15.0" customHeight="1">
      <c r="A419" s="5" t="s">
        <v>893</v>
      </c>
      <c r="B419" s="5" t="s">
        <v>894</v>
      </c>
      <c r="C419" s="5" t="s">
        <v>67</v>
      </c>
      <c r="D419" s="5" t="s">
        <v>83</v>
      </c>
      <c r="E419" s="5">
        <v>5.5</v>
      </c>
      <c r="F419" s="6"/>
      <c r="G419" s="10"/>
      <c r="H419" s="5">
        <v>3143.0</v>
      </c>
      <c r="I419" s="5" t="b">
        <v>0</v>
      </c>
      <c r="J419" s="5" t="b">
        <v>0</v>
      </c>
      <c r="K419" s="7">
        <v>16.24</v>
      </c>
      <c r="L419" s="8">
        <v>0.1172781839074393</v>
      </c>
      <c r="M419" s="9">
        <f t="shared" si="1"/>
        <v>1.242441137</v>
      </c>
      <c r="N419" s="7">
        <f t="shared" si="2"/>
        <v>42.24299867</v>
      </c>
      <c r="O419" s="9">
        <f t="shared" si="3"/>
        <v>7.680545213</v>
      </c>
      <c r="P419" s="9">
        <v>1.277548989265262</v>
      </c>
      <c r="Q419" s="9">
        <v>1.204044100264372</v>
      </c>
      <c r="R419" s="9">
        <v>1.23958229078646</v>
      </c>
      <c r="S419" s="9">
        <v>1.309945076555858</v>
      </c>
      <c r="T419" s="9">
        <v>1.214852416096625</v>
      </c>
      <c r="U419" s="9">
        <v>1.293325082120888</v>
      </c>
      <c r="V419" s="9">
        <v>1.29548325865293</v>
      </c>
      <c r="W419" s="9">
        <v>1.185275656769058</v>
      </c>
      <c r="X419" s="9">
        <v>1.238362631160167</v>
      </c>
      <c r="Y419" s="9">
        <v>1.211542908138196</v>
      </c>
      <c r="Z419" s="9">
        <v>1.203678049675287</v>
      </c>
      <c r="AA419" s="9">
        <v>1.246528049336104</v>
      </c>
      <c r="AB419" s="9">
        <v>1.223593443369973</v>
      </c>
      <c r="AC419" s="9">
        <v>1.247207916254236</v>
      </c>
      <c r="AD419" s="9">
        <v>1.221886246054755</v>
      </c>
      <c r="AE419" s="9">
        <v>1.25228763210228</v>
      </c>
      <c r="AF419" s="9">
        <v>1.233273714164642</v>
      </c>
      <c r="AG419" s="9">
        <v>1.256492264679739</v>
      </c>
      <c r="AH419" s="9">
        <v>1.255012234476406</v>
      </c>
      <c r="AI419" s="9">
        <v>1.242106371112801</v>
      </c>
      <c r="AJ419" s="9">
        <v>1.217125529071253</v>
      </c>
      <c r="AK419" s="9">
        <v>1.207366166740374</v>
      </c>
      <c r="AL419" s="9">
        <v>1.289407785537304</v>
      </c>
      <c r="AM419" s="9">
        <v>1.211693418941231</v>
      </c>
      <c r="AN419" s="9">
        <v>1.181081358379774</v>
      </c>
      <c r="AO419" s="9">
        <v>1.26812659235592</v>
      </c>
      <c r="AP419" s="9">
        <v>1.281011055348358</v>
      </c>
      <c r="AQ419" s="9">
        <v>1.188852447637574</v>
      </c>
      <c r="AR419" s="9">
        <v>1.242525408534896</v>
      </c>
      <c r="AS419" s="9">
        <v>1.28778441573168</v>
      </c>
      <c r="AT419" s="9">
        <v>1.244146875666676</v>
      </c>
      <c r="AU419" s="9">
        <v>1.241619156925463</v>
      </c>
      <c r="AV419" s="9">
        <v>1.299557510810265</v>
      </c>
      <c r="AW419" s="9">
        <v>1.230672617230057</v>
      </c>
    </row>
    <row r="420" ht="15.0" customHeight="1">
      <c r="A420" s="5" t="s">
        <v>895</v>
      </c>
      <c r="B420" s="5" t="s">
        <v>896</v>
      </c>
      <c r="C420" s="5" t="s">
        <v>59</v>
      </c>
      <c r="D420" s="5" t="s">
        <v>56</v>
      </c>
      <c r="E420" s="5">
        <v>8.5</v>
      </c>
      <c r="F420" s="6"/>
      <c r="G420" s="10"/>
      <c r="H420" s="5">
        <v>3286.0</v>
      </c>
      <c r="I420" s="5" t="b">
        <v>0</v>
      </c>
      <c r="J420" s="5" t="b">
        <v>0</v>
      </c>
      <c r="K420" s="7">
        <v>23.98</v>
      </c>
      <c r="L420" s="8">
        <v>0.1561875920540479</v>
      </c>
      <c r="M420" s="9">
        <f t="shared" si="1"/>
        <v>2.085364365</v>
      </c>
      <c r="N420" s="7">
        <f t="shared" si="2"/>
        <v>70.90238841</v>
      </c>
      <c r="O420" s="9">
        <f t="shared" si="3"/>
        <v>8.34145746</v>
      </c>
      <c r="P420" s="9">
        <v>2.118019652204843</v>
      </c>
      <c r="Q420" s="9">
        <v>2.175387452060728</v>
      </c>
      <c r="R420" s="9">
        <v>0.0</v>
      </c>
      <c r="S420" s="9">
        <v>2.099105544748949</v>
      </c>
      <c r="T420" s="9">
        <v>1.961557567689536</v>
      </c>
      <c r="U420" s="9">
        <v>4.473877748697475</v>
      </c>
      <c r="V420" s="9">
        <v>2.326888560304576</v>
      </c>
      <c r="W420" s="9">
        <v>2.149407112987216</v>
      </c>
      <c r="X420" s="9">
        <v>1.871838293291036</v>
      </c>
      <c r="Y420" s="9">
        <v>1.97210630513512</v>
      </c>
      <c r="Z420" s="9">
        <v>2.021333728151274</v>
      </c>
      <c r="AA420" s="9">
        <v>1.709424997691402</v>
      </c>
      <c r="AB420" s="9">
        <v>2.305496524478202</v>
      </c>
      <c r="AC420" s="9">
        <v>1.735341482026629</v>
      </c>
      <c r="AD420" s="9">
        <v>2.086497308663134</v>
      </c>
      <c r="AE420" s="9">
        <v>2.368741016181263</v>
      </c>
      <c r="AF420" s="9">
        <v>2.166242375573482</v>
      </c>
      <c r="AG420" s="9">
        <v>2.089086532361037</v>
      </c>
      <c r="AH420" s="9">
        <v>2.113818768362428</v>
      </c>
      <c r="AI420" s="9">
        <v>2.416312009813403</v>
      </c>
      <c r="AJ420" s="9">
        <v>1.918095675614278</v>
      </c>
      <c r="AK420" s="9">
        <v>2.031920501247571</v>
      </c>
      <c r="AL420" s="9">
        <v>2.505671288136966</v>
      </c>
      <c r="AM420" s="9">
        <v>1.932141194395117</v>
      </c>
      <c r="AN420" s="9">
        <v>2.015848376257178</v>
      </c>
      <c r="AO420" s="9">
        <v>2.441486730926027</v>
      </c>
      <c r="AP420" s="9">
        <v>1.898576296520518</v>
      </c>
      <c r="AQ420" s="9">
        <v>1.897646293333545</v>
      </c>
      <c r="AR420" s="9">
        <v>1.851311312185963</v>
      </c>
      <c r="AS420" s="9">
        <v>1.757442399965869</v>
      </c>
      <c r="AT420" s="9">
        <v>2.378771785152122</v>
      </c>
      <c r="AU420" s="9">
        <v>1.802353035409101</v>
      </c>
      <c r="AV420" s="9">
        <v>2.247275725851873</v>
      </c>
      <c r="AW420" s="9">
        <v>2.063364815732858</v>
      </c>
    </row>
    <row r="421" ht="15.0" customHeight="1">
      <c r="A421" s="5" t="s">
        <v>897</v>
      </c>
      <c r="B421" s="5" t="s">
        <v>898</v>
      </c>
      <c r="C421" s="5" t="s">
        <v>76</v>
      </c>
      <c r="D421" s="5" t="s">
        <v>56</v>
      </c>
      <c r="E421" s="5">
        <v>5.5</v>
      </c>
      <c r="F421" s="6"/>
      <c r="G421" s="10"/>
      <c r="H421" s="5">
        <v>646.0</v>
      </c>
      <c r="I421" s="5" t="b">
        <v>0</v>
      </c>
      <c r="J421" s="5" t="b">
        <v>0</v>
      </c>
      <c r="K421" s="7">
        <v>23.98</v>
      </c>
      <c r="L421" s="8">
        <v>0.08152632147696744</v>
      </c>
      <c r="M421" s="9">
        <f t="shared" si="1"/>
        <v>1.318836295</v>
      </c>
      <c r="N421" s="7">
        <f t="shared" si="2"/>
        <v>44.84043404</v>
      </c>
      <c r="O421" s="9">
        <f t="shared" si="3"/>
        <v>8.152806188</v>
      </c>
      <c r="P421" s="9">
        <v>1.264778283274816</v>
      </c>
      <c r="Q421" s="9">
        <v>1.250421610015137</v>
      </c>
      <c r="R421" s="9">
        <v>1.425441936486442</v>
      </c>
      <c r="S421" s="9">
        <v>1.321334372244631</v>
      </c>
      <c r="T421" s="9">
        <v>1.301318550898464</v>
      </c>
      <c r="U421" s="9">
        <v>1.418004713391294</v>
      </c>
      <c r="V421" s="9">
        <v>1.286775576391122</v>
      </c>
      <c r="W421" s="9">
        <v>1.223358653276976</v>
      </c>
      <c r="X421" s="9">
        <v>1.391586857917959</v>
      </c>
      <c r="Y421" s="9">
        <v>1.299698044931019</v>
      </c>
      <c r="Z421" s="9">
        <v>1.339154534515298</v>
      </c>
      <c r="AA421" s="9">
        <v>1.274968913538097</v>
      </c>
      <c r="AB421" s="9">
        <v>1.257153974226981</v>
      </c>
      <c r="AC421" s="9">
        <v>1.315961945000285</v>
      </c>
      <c r="AD421" s="9">
        <v>1.403951088291842</v>
      </c>
      <c r="AE421" s="9">
        <v>1.444403611140373</v>
      </c>
      <c r="AF421" s="9">
        <v>1.251089806236188</v>
      </c>
      <c r="AG421" s="9">
        <v>1.236626344054638</v>
      </c>
      <c r="AH421" s="9">
        <v>1.368067296036303</v>
      </c>
      <c r="AI421" s="9">
        <v>1.209173148239322</v>
      </c>
      <c r="AJ421" s="9">
        <v>1.319680082048686</v>
      </c>
      <c r="AK421" s="9">
        <v>1.324294231461685</v>
      </c>
      <c r="AL421" s="9">
        <v>1.414065133873957</v>
      </c>
      <c r="AM421" s="9">
        <v>1.30444614039678</v>
      </c>
      <c r="AN421" s="9">
        <v>1.216829506177934</v>
      </c>
      <c r="AO421" s="9">
        <v>1.406914420688591</v>
      </c>
      <c r="AP421" s="9">
        <v>1.32988191746487</v>
      </c>
      <c r="AQ421" s="9">
        <v>1.328640874507807</v>
      </c>
      <c r="AR421" s="9">
        <v>1.265053028768511</v>
      </c>
      <c r="AS421" s="9">
        <v>1.38526713178521</v>
      </c>
      <c r="AT421" s="9">
        <v>1.320569452776472</v>
      </c>
      <c r="AU421" s="9">
        <v>1.313735553409732</v>
      </c>
      <c r="AV421" s="9">
        <v>1.344128079332709</v>
      </c>
      <c r="AW421" s="9">
        <v>1.283659223546379</v>
      </c>
    </row>
    <row r="422" ht="15.0" customHeight="1">
      <c r="A422" s="5" t="s">
        <v>899</v>
      </c>
      <c r="B422" s="5" t="s">
        <v>900</v>
      </c>
      <c r="C422" s="5" t="s">
        <v>136</v>
      </c>
      <c r="D422" s="5" t="s">
        <v>52</v>
      </c>
      <c r="E422" s="5">
        <v>5.0</v>
      </c>
      <c r="F422" s="6"/>
      <c r="G422" s="10"/>
      <c r="H422" s="5">
        <v>766.0</v>
      </c>
      <c r="I422" s="5" t="b">
        <v>0</v>
      </c>
      <c r="J422" s="5" t="b">
        <v>0</v>
      </c>
      <c r="K422" s="7">
        <v>22.95</v>
      </c>
      <c r="L422" s="8">
        <v>0.02918136200814198</v>
      </c>
      <c r="M422" s="9">
        <f t="shared" si="1"/>
        <v>0.999268738</v>
      </c>
      <c r="N422" s="7">
        <f t="shared" si="2"/>
        <v>33.97513709</v>
      </c>
      <c r="O422" s="9">
        <f t="shared" si="3"/>
        <v>6.795027419</v>
      </c>
      <c r="P422" s="9">
        <v>0.9983201861361626</v>
      </c>
      <c r="Q422" s="9">
        <v>0.9881142805179459</v>
      </c>
      <c r="R422" s="9">
        <v>0.9818005757314971</v>
      </c>
      <c r="S422" s="9">
        <v>1.016756765327816</v>
      </c>
      <c r="T422" s="9">
        <v>1.000898719760154</v>
      </c>
      <c r="U422" s="9">
        <v>1.000639156976628</v>
      </c>
      <c r="V422" s="9">
        <v>0.9768356455177386</v>
      </c>
      <c r="W422" s="9">
        <v>1.003378060585183</v>
      </c>
      <c r="X422" s="9">
        <v>0.9837573415275075</v>
      </c>
      <c r="Y422" s="9">
        <v>0.9990756753379902</v>
      </c>
      <c r="Z422" s="9">
        <v>0.981707345387555</v>
      </c>
      <c r="AA422" s="9">
        <v>1.042660232630316</v>
      </c>
      <c r="AB422" s="9">
        <v>0.9654367200890894</v>
      </c>
      <c r="AC422" s="9">
        <v>1.033702202841571</v>
      </c>
      <c r="AD422" s="9">
        <v>0.9935567895615284</v>
      </c>
      <c r="AE422" s="9">
        <v>1.003799188008159</v>
      </c>
      <c r="AF422" s="9">
        <v>0.9941066814875927</v>
      </c>
      <c r="AG422" s="9">
        <v>0.9891717633674498</v>
      </c>
      <c r="AH422" s="9">
        <v>0.985165367397877</v>
      </c>
      <c r="AI422" s="9">
        <v>1.029938895246647</v>
      </c>
      <c r="AJ422" s="9">
        <v>0.9770623868654188</v>
      </c>
      <c r="AK422" s="9">
        <v>1.000337363714331</v>
      </c>
      <c r="AL422" s="9">
        <v>0.9628386615209139</v>
      </c>
      <c r="AM422" s="9">
        <v>1.009550157237823</v>
      </c>
      <c r="AN422" s="9">
        <v>1.008633387663023</v>
      </c>
      <c r="AO422" s="9">
        <v>1.006945697402108</v>
      </c>
      <c r="AP422" s="9">
        <v>0.9721544499393311</v>
      </c>
      <c r="AQ422" s="9">
        <v>1.036225901621161</v>
      </c>
      <c r="AR422" s="9">
        <v>0.979120162080953</v>
      </c>
      <c r="AS422" s="9">
        <v>1.032365371622068</v>
      </c>
      <c r="AT422" s="9">
        <v>1.028933337357968</v>
      </c>
      <c r="AU422" s="9">
        <v>0.9676522782826262</v>
      </c>
      <c r="AV422" s="9">
        <v>1.022593245413641</v>
      </c>
      <c r="AW422" s="9">
        <v>1.001903099082688</v>
      </c>
    </row>
    <row r="423" ht="15.0" customHeight="1">
      <c r="A423" s="5" t="s">
        <v>901</v>
      </c>
      <c r="B423" s="5" t="s">
        <v>902</v>
      </c>
      <c r="C423" s="5" t="s">
        <v>281</v>
      </c>
      <c r="D423" s="5" t="s">
        <v>83</v>
      </c>
      <c r="E423" s="5">
        <v>4.5</v>
      </c>
      <c r="F423" s="6"/>
      <c r="G423" s="10"/>
      <c r="H423" s="5">
        <v>788.0</v>
      </c>
      <c r="I423" s="5" t="b">
        <v>1</v>
      </c>
      <c r="J423" s="5" t="b">
        <v>0</v>
      </c>
      <c r="K423" s="7">
        <v>80.76</v>
      </c>
      <c r="L423" s="8">
        <v>0.05308719219678899</v>
      </c>
      <c r="M423" s="9">
        <f t="shared" si="1"/>
        <v>3.019901496</v>
      </c>
      <c r="N423" s="7">
        <f t="shared" si="2"/>
        <v>102.6766509</v>
      </c>
      <c r="O423" s="9">
        <f t="shared" si="3"/>
        <v>22.81703353</v>
      </c>
      <c r="P423" s="9">
        <v>3.040155439965495</v>
      </c>
      <c r="Q423" s="9">
        <v>2.98271345386684</v>
      </c>
      <c r="R423" s="9">
        <v>0.0</v>
      </c>
      <c r="S423" s="9">
        <v>3.043109257008696</v>
      </c>
      <c r="T423" s="9">
        <v>3.453115159708824</v>
      </c>
      <c r="U423" s="9">
        <v>5.306722138990621</v>
      </c>
      <c r="V423" s="9">
        <v>3.533006171878138</v>
      </c>
      <c r="W423" s="9">
        <v>2.741761349739512</v>
      </c>
      <c r="X423" s="9">
        <v>2.944136657948455</v>
      </c>
      <c r="Y423" s="9">
        <v>3.74421973565105</v>
      </c>
      <c r="Z423" s="9">
        <v>2.445479323527438</v>
      </c>
      <c r="AA423" s="9">
        <v>3.527862414373912</v>
      </c>
      <c r="AB423" s="9">
        <v>2.568237752918537</v>
      </c>
      <c r="AC423" s="9">
        <v>2.630689167192223</v>
      </c>
      <c r="AD423" s="9">
        <v>2.833695389716807</v>
      </c>
      <c r="AE423" s="9">
        <v>3.718314866662908</v>
      </c>
      <c r="AF423" s="9">
        <v>2.830785936665926</v>
      </c>
      <c r="AG423" s="9">
        <v>3.057086409691038</v>
      </c>
      <c r="AH423" s="9">
        <v>3.239573824969525</v>
      </c>
      <c r="AI423" s="9">
        <v>2.626820447879662</v>
      </c>
      <c r="AJ423" s="9">
        <v>2.712988672011353</v>
      </c>
      <c r="AK423" s="9">
        <v>3.398005571373697</v>
      </c>
      <c r="AL423" s="9">
        <v>2.66994749484452</v>
      </c>
      <c r="AM423" s="9">
        <v>2.988922252240263</v>
      </c>
      <c r="AN423" s="9">
        <v>3.047972197821249</v>
      </c>
      <c r="AO423" s="9">
        <v>2.904153337621323</v>
      </c>
      <c r="AP423" s="9">
        <v>3.218876746315094</v>
      </c>
      <c r="AQ423" s="9">
        <v>3.14050812072454</v>
      </c>
      <c r="AR423" s="9">
        <v>2.985646712898068</v>
      </c>
      <c r="AS423" s="9">
        <v>2.988079534293249</v>
      </c>
      <c r="AT423" s="9">
        <v>2.521032369543083</v>
      </c>
      <c r="AU423" s="9">
        <v>3.258534540757917</v>
      </c>
      <c r="AV423" s="9">
        <v>3.054015004122944</v>
      </c>
      <c r="AW423" s="9">
        <v>3.52048341844785</v>
      </c>
    </row>
    <row r="424" ht="15.0" customHeight="1">
      <c r="A424" s="5" t="s">
        <v>903</v>
      </c>
      <c r="B424" s="5" t="s">
        <v>904</v>
      </c>
      <c r="C424" s="5" t="s">
        <v>59</v>
      </c>
      <c r="D424" s="5" t="s">
        <v>52</v>
      </c>
      <c r="E424" s="5">
        <v>9.5</v>
      </c>
      <c r="F424" s="6"/>
      <c r="G424" s="10"/>
      <c r="H424" s="5">
        <v>1778.0</v>
      </c>
      <c r="I424" s="5" t="b">
        <v>1</v>
      </c>
      <c r="J424" s="5" t="b">
        <v>0</v>
      </c>
      <c r="K424" s="7">
        <v>74.05</v>
      </c>
      <c r="L424" s="8">
        <v>0.08828732750372734</v>
      </c>
      <c r="M424" s="9">
        <f t="shared" si="1"/>
        <v>4.273142798</v>
      </c>
      <c r="N424" s="7">
        <f t="shared" si="2"/>
        <v>145.2868551</v>
      </c>
      <c r="O424" s="9">
        <f t="shared" si="3"/>
        <v>15.29335317</v>
      </c>
      <c r="P424" s="9">
        <v>4.337479450010679</v>
      </c>
      <c r="Q424" s="9">
        <v>4.444275154543998</v>
      </c>
      <c r="R424" s="9">
        <v>0.0</v>
      </c>
      <c r="S424" s="9">
        <v>4.232180341376702</v>
      </c>
      <c r="T424" s="9">
        <v>3.933308627526964</v>
      </c>
      <c r="U424" s="9">
        <v>9.326186235619437</v>
      </c>
      <c r="V424" s="9">
        <v>4.850315296373514</v>
      </c>
      <c r="W424" s="9">
        <v>4.376399185791068</v>
      </c>
      <c r="X424" s="9">
        <v>3.735581742888411</v>
      </c>
      <c r="Y424" s="9">
        <v>4.029912938934153</v>
      </c>
      <c r="Z424" s="9">
        <v>4.135748871382625</v>
      </c>
      <c r="AA424" s="9">
        <v>3.408695581836473</v>
      </c>
      <c r="AB424" s="9">
        <v>4.880700368871125</v>
      </c>
      <c r="AC424" s="9">
        <v>3.439027747581023</v>
      </c>
      <c r="AD424" s="9">
        <v>4.30578337986038</v>
      </c>
      <c r="AE424" s="9">
        <v>5.007667540309623</v>
      </c>
      <c r="AF424" s="9">
        <v>4.426102222575561</v>
      </c>
      <c r="AG424" s="9">
        <v>4.342214258563961</v>
      </c>
      <c r="AH424" s="9">
        <v>4.311241602407489</v>
      </c>
      <c r="AI424" s="9">
        <v>4.964368753617372</v>
      </c>
      <c r="AJ424" s="9">
        <v>3.836485332542608</v>
      </c>
      <c r="AK424" s="9">
        <v>4.156480809609421</v>
      </c>
      <c r="AL424" s="9">
        <v>5.20797977571195</v>
      </c>
      <c r="AM424" s="9">
        <v>3.919140863702662</v>
      </c>
      <c r="AN424" s="9">
        <v>4.194939786810907</v>
      </c>
      <c r="AO424" s="9">
        <v>5.088236066161319</v>
      </c>
      <c r="AP424" s="9">
        <v>3.784158533693145</v>
      </c>
      <c r="AQ424" s="9">
        <v>3.876898023231578</v>
      </c>
      <c r="AR424" s="9">
        <v>3.736397180588711</v>
      </c>
      <c r="AS424" s="9">
        <v>3.449094921533056</v>
      </c>
      <c r="AT424" s="9">
        <v>4.970632322833576</v>
      </c>
      <c r="AU424" s="9">
        <v>3.604299494992072</v>
      </c>
      <c r="AV424" s="9">
        <v>4.684070176333865</v>
      </c>
      <c r="AW424" s="9">
        <v>4.290852558737416</v>
      </c>
    </row>
  </sheetData>
  <dataValidations>
    <dataValidation type="custom" allowBlank="1" showDropDown="1" sqref="F2:F424 K2:L424 N2:N424 P2:AW424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